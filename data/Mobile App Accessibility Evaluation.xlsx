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Methodology" sheetId="1" state="visible" r:id="rId1"/>
    <sheet name="Comparison Dashboard" sheetId="2" state="visible" r:id="rId2"/>
    <sheet name="SC Glossary" sheetId="3" state="visible" r:id="rId3"/>
    <sheet name="BK Mobile" sheetId="4" state="visible" r:id="rId4"/>
    <sheet name="BK Mobile - Transactions" sheetId="5" state="visible" r:id="rId5"/>
    <sheet name="Equity Mobile RW" sheetId="6" state="visible" r:id="rId6"/>
    <sheet name="Equity Mobile RW - Transactions" sheetId="7" state="visible" r:id="rId7"/>
    <sheet name="Fidelity NG" sheetId="8" state="visible" r:id="rId8"/>
    <sheet name="Fidelity NG - Transactions" sheetId="9" state="visible" r:id="rId9"/>
    <sheet name="GTWorld NG" sheetId="10" state="visible" r:id="rId10"/>
    <sheet name="GTWorld NG - Transactions" sheetId="11" state="visible" r:id="rId11"/>
    <sheet name="AccessMore NG" sheetId="12" state="visible" r:id="rId12"/>
    <sheet name="AccessMore NG - Transactions" sheetId="13" state="visible" r:id="rId13"/>
    <sheet name="App Template" sheetId="14" state="visible" r:id="rId14"/>
    <sheet name="App Template - Transactions" sheetId="15" state="visible" r:id="rId15"/>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26">
    <font>
      <name val="Calibri"/>
      <color theme="1"/>
      <sz val="11"/>
      <scheme val="minor"/>
    </font>
    <font>
      <name val="Arial"/>
      <b val="1"/>
      <color rgb="FF1F2937"/>
      <sz val="16"/>
    </font>
    <font>
      <name val="Arial"/>
      <i val="1"/>
      <color rgb="FF555555"/>
      <sz val="11"/>
    </font>
    <font>
      <name val="Arial"/>
      <b val="1"/>
      <color rgb="FF1F2937"/>
      <sz val="14"/>
    </font>
    <font>
      <name val="Arial"/>
      <b val="1"/>
      <color rgb="FF1D4ED8"/>
      <sz val="12"/>
    </font>
    <font>
      <name val="Arial"/>
      <color rgb="FF111827"/>
      <sz val="10"/>
    </font>
    <font>
      <name val="Arial"/>
      <i val="1"/>
      <color rgb="FF555555"/>
      <sz val="9"/>
    </font>
    <font>
      <name val="Arial"/>
      <b val="1"/>
      <color rgb="FFFFFFFF"/>
      <sz val="10"/>
    </font>
    <font>
      <name val="Arial"/>
      <color rgb="FFB91C1C"/>
      <sz val="10"/>
    </font>
    <font>
      <name val="Arial"/>
      <b val="1"/>
      <color rgb="FF111827"/>
      <sz val="10"/>
    </font>
    <font>
      <name val="Arial"/>
      <i val="1"/>
      <color rgb="FF555555"/>
      <sz val="10"/>
    </font>
    <font>
      <name val="Arial"/>
      <color rgb="FF111827"/>
      <sz val="9"/>
    </font>
    <font>
      <name val="Arial"/>
      <color rgb="FF555555"/>
      <sz val="10"/>
    </font>
    <font>
      <name val="Arial"/>
      <i val="1"/>
      <color rgb="FF333333"/>
      <sz val="9"/>
    </font>
    <font>
      <name val="Arial"/>
      <color rgb="FF2F855A"/>
      <sz val="9"/>
    </font>
    <font>
      <name val="Arial"/>
      <color rgb="FF0000FF"/>
      <sz val="10"/>
    </font>
    <font>
      <name val="Arial"/>
      <color rgb="FF0000FF"/>
      <sz val="9"/>
    </font>
    <font>
      <name val="Arial"/>
      <b val="1"/>
      <color rgb="FFB91C1C"/>
      <sz val="9"/>
    </font>
    <font>
      <name val="Arial"/>
      <b val="1"/>
      <color rgb="FF1D4ED8"/>
      <sz val="10"/>
    </font>
    <font>
      <name val="Arial"/>
      <b val="1"/>
      <color rgb="FFB7791F"/>
      <sz val="9"/>
    </font>
    <font>
      <name val="Arial"/>
      <i val="1"/>
      <color rgb="FF9CA3AF"/>
      <sz val="10"/>
    </font>
    <font>
      <name val="Arial"/>
      <color rgb="FF555555"/>
      <sz val="9"/>
    </font>
    <font>
      <name val="Arial"/>
      <b val="1"/>
      <color rgb="FF1F2937"/>
      <sz val="13"/>
    </font>
    <font>
      <name val="Arial"/>
      <b val="1"/>
      <color rgb="FFFFFFFF"/>
      <sz val="11"/>
    </font>
    <font/>
    <font>
      <name val="Arial"/>
      <b val="1"/>
      <color rgb="FFFFFFFF"/>
      <sz val="12"/>
    </font>
  </fonts>
  <fills count="15">
    <fill>
      <patternFill/>
    </fill>
    <fill>
      <patternFill patternType="lightGray"/>
    </fill>
    <fill>
      <patternFill patternType="solid">
        <fgColor rgb="FF1F2937"/>
        <bgColor rgb="FF1F2937"/>
      </patternFill>
    </fill>
    <fill>
      <patternFill patternType="solid">
        <fgColor rgb="FFFFFFFF"/>
        <bgColor rgb="FFFFFFFF"/>
      </patternFill>
    </fill>
    <fill>
      <patternFill patternType="solid">
        <fgColor rgb="FF1D4ED8"/>
        <bgColor rgb="FF1D4ED8"/>
      </patternFill>
    </fill>
    <fill>
      <patternFill patternType="solid">
        <fgColor rgb="FFF3F4F6"/>
        <bgColor rgb="FFF3F4F6"/>
      </patternFill>
    </fill>
    <fill>
      <patternFill patternType="solid">
        <fgColor rgb="FFB91C1C"/>
        <bgColor rgb="FFB91C1C"/>
      </patternFill>
    </fill>
    <fill>
      <patternFill patternType="solid">
        <fgColor rgb="FF2F855A"/>
        <bgColor rgb="FF2F855A"/>
      </patternFill>
    </fill>
    <fill>
      <patternFill patternType="solid">
        <fgColor rgb="FFB7791F"/>
        <bgColor rgb="FFB7791F"/>
      </patternFill>
    </fill>
    <fill>
      <patternFill patternType="solid">
        <fgColor rgb="FFC2410C"/>
        <bgColor rgb="FFC2410C"/>
      </patternFill>
    </fill>
    <fill>
      <patternFill patternType="solid">
        <fgColor rgb="FF7C3AED"/>
        <bgColor rgb="FF7C3AED"/>
      </patternFill>
    </fill>
    <fill>
      <patternFill patternType="solid">
        <fgColor rgb="FF9CA3AF"/>
        <bgColor rgb="FF9CA3AF"/>
      </patternFill>
    </fill>
    <fill>
      <patternFill patternType="solid">
        <fgColor rgb="FFF9FAFB"/>
        <bgColor rgb="FFF9FAFB"/>
      </patternFill>
    </fill>
    <fill>
      <patternFill patternType="solid">
        <fgColor rgb="FFFCE8E8"/>
        <bgColor rgb="FFFCE8E8"/>
      </patternFill>
    </fill>
    <fill>
      <patternFill patternType="solid">
        <fgColor rgb="FFD1D5DB"/>
        <bgColor rgb="FFD1D5DB"/>
      </patternFill>
    </fill>
  </fills>
  <borders count="7">
    <border/>
    <border>
      <left style="thin">
        <color rgb="FFD1D5DB"/>
      </left>
      <right style="thin">
        <color rgb="FFD1D5DB"/>
      </right>
      <top style="thin">
        <color rgb="FFD1D5DB"/>
      </top>
      <bottom style="thin">
        <color rgb="FFD1D5DB"/>
      </bottom>
    </border>
    <border>
      <left style="thin">
        <color rgb="FFD1D5DB"/>
      </left>
      <top style="thin">
        <color rgb="FFD1D5DB"/>
      </top>
      <bottom style="thin">
        <color rgb="FFD1D5DB"/>
      </bottom>
    </border>
    <border>
      <top style="thin">
        <color rgb="FFD1D5DB"/>
      </top>
      <bottom style="thin">
        <color rgb="FFD1D5DB"/>
      </bottom>
    </border>
    <border>
      <right style="thin">
        <color rgb="FFD1D5DB"/>
      </right>
      <top style="thin">
        <color rgb="FFD1D5DB"/>
      </top>
      <bottom style="thin">
        <color rgb="FFD1D5DB"/>
      </bottom>
    </border>
    <border>
      <top style="thin">
        <color rgb="FFD1D5DB"/>
      </top>
    </border>
    <border>
      <right style="thin">
        <color rgb="FFD1D5DB"/>
      </right>
      <top style="thin">
        <color rgb="FFD1D5DB"/>
      </top>
    </border>
  </borders>
  <cellStyleXfs count="1">
    <xf numFmtId="0" fontId="0" fillId="0" borderId="0"/>
  </cellStyleXfs>
  <cellXfs count="100">
    <xf numFmtId="0" fontId="0" fillId="0" borderId="0" applyAlignment="1" pivotButton="0" quotePrefix="0" xfId="0">
      <alignment vertical="bottom"/>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0" borderId="0" applyAlignment="1" pivotButton="0" quotePrefix="0" xfId="0">
      <alignment horizontal="left" vertical="center"/>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7" fillId="2" borderId="1" applyAlignment="1" pivotButton="0" quotePrefix="0" xfId="0">
      <alignment horizontal="center" vertical="center" wrapText="1"/>
    </xf>
    <xf numFmtId="0" fontId="8" fillId="0" borderId="0" applyAlignment="1" pivotButton="0" quotePrefix="0" xfId="0">
      <alignment horizontal="left" vertical="center" wrapText="1"/>
    </xf>
    <xf numFmtId="0" fontId="9" fillId="3" borderId="1" applyAlignment="1" pivotButton="0" quotePrefix="0" xfId="0">
      <alignment horizontal="center" vertical="center"/>
    </xf>
    <xf numFmtId="0" fontId="5" fillId="3" borderId="1" applyAlignment="1" pivotButton="0" quotePrefix="0" xfId="0">
      <alignment horizontal="left" vertical="center" wrapText="1"/>
    </xf>
    <xf numFmtId="0" fontId="9" fillId="0" borderId="0" applyAlignment="1" pivotButton="0" quotePrefix="0" xfId="0">
      <alignment horizontal="left" vertical="center" wrapText="1"/>
    </xf>
    <xf numFmtId="0" fontId="7" fillId="4" borderId="1" applyAlignment="1" pivotButton="0" quotePrefix="0" xfId="0">
      <alignment horizontal="center" vertical="center"/>
    </xf>
    <xf numFmtId="0" fontId="9" fillId="0" borderId="1" applyAlignment="1" pivotButton="0" quotePrefix="0" xfId="0">
      <alignment horizontal="left" vertical="center"/>
    </xf>
    <xf numFmtId="0" fontId="5" fillId="3" borderId="1" applyAlignment="1" pivotButton="0" quotePrefix="0" xfId="0">
      <alignment horizontal="center" vertical="center"/>
    </xf>
    <xf numFmtId="0" fontId="10" fillId="0" borderId="0" applyAlignment="1" pivotButton="0" quotePrefix="0" xfId="0">
      <alignment horizontal="left" vertical="center" wrapText="1"/>
    </xf>
    <xf numFmtId="0" fontId="11" fillId="3" borderId="1" applyAlignment="1" pivotButton="0" quotePrefix="0" xfId="0">
      <alignment horizontal="left" vertical="center" wrapText="1"/>
    </xf>
    <xf numFmtId="0" fontId="7" fillId="2" borderId="1" applyAlignment="1" pivotButton="0" quotePrefix="0" xfId="0">
      <alignment horizontal="center" vertical="center"/>
    </xf>
    <xf numFmtId="0" fontId="12" fillId="0" borderId="0" applyAlignment="1" pivotButton="0" quotePrefix="0" xfId="0">
      <alignment horizontal="left" vertical="center" wrapText="1"/>
    </xf>
    <xf numFmtId="0" fontId="13" fillId="3" borderId="1" applyAlignment="1" pivotButton="0" quotePrefix="0" xfId="0">
      <alignment horizontal="left" vertical="center" wrapText="1"/>
    </xf>
    <xf numFmtId="0" fontId="14" fillId="3" borderId="1" applyAlignment="1" pivotButton="0" quotePrefix="0" xfId="0">
      <alignment horizontal="center" vertical="center" wrapText="1"/>
    </xf>
    <xf numFmtId="0" fontId="9" fillId="5" borderId="1" applyAlignment="1" pivotButton="0" quotePrefix="0" xfId="0">
      <alignment horizontal="center" vertical="center"/>
    </xf>
    <xf numFmtId="0" fontId="15" fillId="3" borderId="1" applyAlignment="1" pivotButton="0" quotePrefix="0" xfId="0">
      <alignment horizontal="center" vertical="center"/>
    </xf>
    <xf numFmtId="0" fontId="7" fillId="2" borderId="1" applyAlignment="1" pivotButton="0" quotePrefix="0" xfId="0">
      <alignment horizontal="left" vertical="center"/>
    </xf>
    <xf numFmtId="0" fontId="5" fillId="5" borderId="1" applyAlignment="1" pivotButton="0" quotePrefix="0" xfId="0">
      <alignment horizontal="left" vertical="center" wrapText="1"/>
    </xf>
    <xf numFmtId="0" fontId="7" fillId="6" borderId="1" applyAlignment="1" pivotButton="0" quotePrefix="0" xfId="0">
      <alignment horizontal="center" vertical="center"/>
    </xf>
    <xf numFmtId="0" fontId="7" fillId="7" borderId="1" applyAlignment="1" pivotButton="0" quotePrefix="0" xfId="0">
      <alignment horizontal="left" vertical="center"/>
    </xf>
    <xf numFmtId="0" fontId="12" fillId="0" borderId="0" applyAlignment="1" pivotButton="0" quotePrefix="0" xfId="0">
      <alignment horizontal="left" vertical="center"/>
    </xf>
    <xf numFmtId="0" fontId="5" fillId="5" borderId="1" applyAlignment="1" pivotButton="0" quotePrefix="0" xfId="0">
      <alignment horizontal="center" vertical="center"/>
    </xf>
    <xf numFmtId="0" fontId="7" fillId="8" borderId="1" applyAlignment="1" pivotButton="0" quotePrefix="0" xfId="0">
      <alignment horizontal="left" vertical="center"/>
    </xf>
    <xf numFmtId="164" fontId="9" fillId="0" borderId="1" applyAlignment="1" pivotButton="0" quotePrefix="0" xfId="0">
      <alignment horizontal="center" vertical="center"/>
    </xf>
    <xf numFmtId="0" fontId="7" fillId="9" borderId="1" applyAlignment="1" pivotButton="0" quotePrefix="0" xfId="0">
      <alignment horizontal="left" vertical="center"/>
    </xf>
    <xf numFmtId="0" fontId="11" fillId="5" borderId="1" applyAlignment="1" pivotButton="0" quotePrefix="0" xfId="0">
      <alignment horizontal="left" vertical="center" wrapText="1"/>
    </xf>
    <xf numFmtId="0" fontId="16" fillId="3" borderId="1" applyAlignment="1" pivotButton="0" quotePrefix="0" xfId="0">
      <alignment horizontal="left" vertical="center" wrapText="1"/>
    </xf>
    <xf numFmtId="0" fontId="7" fillId="6" borderId="1" applyAlignment="1" pivotButton="0" quotePrefix="0" xfId="0">
      <alignment horizontal="left" vertical="center"/>
    </xf>
    <xf numFmtId="0" fontId="13" fillId="5" borderId="1" applyAlignment="1" pivotButton="0" quotePrefix="0" xfId="0">
      <alignment horizontal="left" vertical="center" wrapText="1"/>
    </xf>
    <xf numFmtId="0" fontId="14" fillId="5" borderId="1" applyAlignment="1" pivotButton="0" quotePrefix="0" xfId="0">
      <alignment horizontal="center" vertical="center" wrapText="1"/>
    </xf>
    <xf numFmtId="0" fontId="5" fillId="0" borderId="1" applyAlignment="1" pivotButton="0" quotePrefix="0" xfId="0">
      <alignment horizontal="center" vertical="center"/>
    </xf>
    <xf numFmtId="0" fontId="6" fillId="3" borderId="1" applyAlignment="1" pivotButton="0" quotePrefix="0" xfId="0">
      <alignment horizontal="left" vertical="center" wrapText="1"/>
    </xf>
    <xf numFmtId="165" fontId="5" fillId="0" borderId="1" applyAlignment="1" pivotButton="0" quotePrefix="0" xfId="0">
      <alignment horizontal="center" vertical="center"/>
    </xf>
    <xf numFmtId="0" fontId="17" fillId="3" borderId="1" applyAlignment="1" pivotButton="0" quotePrefix="0" xfId="0">
      <alignment horizontal="left" vertical="center" wrapText="1"/>
    </xf>
    <xf numFmtId="0" fontId="15" fillId="5" borderId="1" applyAlignment="1" pivotButton="0" quotePrefix="0" xfId="0">
      <alignment horizontal="center" vertical="center"/>
    </xf>
    <xf numFmtId="0" fontId="7" fillId="8" borderId="1" applyAlignment="1" pivotButton="0" quotePrefix="0" xfId="0">
      <alignment horizontal="center" vertical="center"/>
    </xf>
    <xf numFmtId="164" fontId="18" fillId="0" borderId="1" applyAlignment="1" pivotButton="0" quotePrefix="0" xfId="0">
      <alignment horizontal="center" vertical="center"/>
    </xf>
    <xf numFmtId="0" fontId="16" fillId="5" borderId="1" applyAlignment="1" pivotButton="0" quotePrefix="0" xfId="0">
      <alignment horizontal="left" vertical="center" wrapText="1"/>
    </xf>
    <xf numFmtId="0" fontId="6" fillId="5" borderId="1" applyAlignment="1" pivotButton="0" quotePrefix="0" xfId="0">
      <alignment horizontal="left" vertical="center" wrapText="1"/>
    </xf>
    <xf numFmtId="0" fontId="19" fillId="5" borderId="1" applyAlignment="1" pivotButton="0" quotePrefix="0" xfId="0">
      <alignment horizontal="left" vertical="center" wrapText="1"/>
    </xf>
    <xf numFmtId="0" fontId="7" fillId="10" borderId="1" applyAlignment="1" pivotButton="0" quotePrefix="0" xfId="0">
      <alignment horizontal="center" vertical="center"/>
    </xf>
    <xf numFmtId="0" fontId="11" fillId="0" borderId="1" applyAlignment="1" pivotButton="0" quotePrefix="0" xfId="0">
      <alignment horizontal="left" vertical="center" wrapText="1"/>
    </xf>
    <xf numFmtId="0" fontId="7" fillId="11" borderId="1" applyAlignment="1" pivotButton="0" quotePrefix="0" xfId="0">
      <alignment horizontal="center" vertical="center"/>
    </xf>
    <xf numFmtId="0" fontId="20" fillId="0" borderId="1" applyAlignment="1" pivotButton="0" quotePrefix="0" xfId="0">
      <alignment horizontal="left" vertical="center"/>
    </xf>
    <xf numFmtId="0" fontId="5" fillId="12" borderId="1" applyAlignment="1" pivotButton="0" quotePrefix="0" xfId="0">
      <alignment horizontal="left" vertical="center"/>
    </xf>
    <xf numFmtId="0" fontId="21" fillId="3" borderId="1" applyAlignment="1" pivotButton="0" quotePrefix="0" xfId="0">
      <alignment horizontal="left" vertical="center" wrapText="1"/>
    </xf>
    <xf numFmtId="0" fontId="7" fillId="7" borderId="1" applyAlignment="1" pivotButton="0" quotePrefix="0" xfId="0">
      <alignment horizontal="center" vertical="center"/>
    </xf>
    <xf numFmtId="0" fontId="9" fillId="13" borderId="1" applyAlignment="1" pivotButton="0" quotePrefix="0" xfId="0">
      <alignment horizontal="center" vertical="center"/>
    </xf>
    <xf numFmtId="0" fontId="5" fillId="13" borderId="1" applyAlignment="1" pivotButton="0" quotePrefix="0" xfId="0">
      <alignment horizontal="left" vertical="center" wrapText="1"/>
    </xf>
    <xf numFmtId="0" fontId="21" fillId="5" borderId="1" applyAlignment="1" pivotButton="0" quotePrefix="0" xfId="0">
      <alignment horizontal="left" vertical="center" wrapText="1"/>
    </xf>
    <xf numFmtId="0" fontId="5" fillId="13" borderId="1" applyAlignment="1" pivotButton="0" quotePrefix="0" xfId="0">
      <alignment horizontal="center" vertical="center"/>
    </xf>
    <xf numFmtId="0" fontId="11" fillId="13" borderId="1" applyAlignment="1" pivotButton="0" quotePrefix="0" xfId="0">
      <alignment horizontal="left" vertical="center" wrapText="1"/>
    </xf>
    <xf numFmtId="0" fontId="13" fillId="13" borderId="1" applyAlignment="1" pivotButton="0" quotePrefix="0" xfId="0">
      <alignment horizontal="left" vertical="center" wrapText="1"/>
    </xf>
    <xf numFmtId="0" fontId="17" fillId="13" borderId="1" applyAlignment="1" pivotButton="0" quotePrefix="0" xfId="0">
      <alignment horizontal="center" vertical="center" wrapText="1"/>
    </xf>
    <xf numFmtId="0" fontId="19" fillId="3" borderId="1" applyAlignment="1" pivotButton="0" quotePrefix="0" xfId="0">
      <alignment horizontal="left" vertical="center" wrapText="1"/>
    </xf>
    <xf numFmtId="0" fontId="22" fillId="0" borderId="0" applyAlignment="1" pivotButton="0" quotePrefix="0" xfId="0">
      <alignment horizontal="left" vertical="center"/>
    </xf>
    <xf numFmtId="0" fontId="17" fillId="5" borderId="1" applyAlignment="1" pivotButton="0" quotePrefix="0" xfId="0">
      <alignment horizontal="left" vertical="center" wrapText="1"/>
    </xf>
    <xf numFmtId="0" fontId="7" fillId="14" borderId="1" applyAlignment="1" pivotButton="0" quotePrefix="0" xfId="0">
      <alignment horizontal="center" vertical="center"/>
    </xf>
    <xf numFmtId="0" fontId="23" fillId="2" borderId="2" applyAlignment="1" pivotButton="0" quotePrefix="0" xfId="0">
      <alignment horizontal="left" vertical="center"/>
    </xf>
    <xf numFmtId="0" fontId="24" fillId="0" borderId="3" pivotButton="0" quotePrefix="0" xfId="0"/>
    <xf numFmtId="0" fontId="24" fillId="0" borderId="4" pivotButton="0" quotePrefix="0" xfId="0"/>
    <xf numFmtId="0" fontId="5" fillId="5" borderId="2" applyAlignment="1" pivotButton="0" quotePrefix="0" xfId="0">
      <alignment horizontal="left" vertical="center"/>
    </xf>
    <xf numFmtId="0" fontId="5" fillId="5" borderId="2" applyAlignment="1" pivotButton="0" quotePrefix="0" xfId="0">
      <alignment horizontal="center" vertical="center"/>
    </xf>
    <xf numFmtId="0" fontId="18" fillId="5" borderId="2" applyAlignment="1" pivotButton="0" quotePrefix="0" xfId="0">
      <alignment horizontal="left" vertical="center"/>
    </xf>
    <xf numFmtId="164" fontId="18" fillId="5" borderId="2" applyAlignment="1" pivotButton="0" quotePrefix="0" xfId="0">
      <alignment horizontal="center" vertical="center"/>
    </xf>
    <xf numFmtId="0" fontId="25" fillId="2" borderId="2" applyAlignment="1" pivotButton="0" quotePrefix="0" xfId="0">
      <alignment horizontal="left" vertical="center"/>
    </xf>
    <xf numFmtId="0" fontId="9" fillId="5" borderId="2" applyAlignment="1" pivotButton="0" quotePrefix="0" xfId="0">
      <alignment horizontal="left" vertical="center"/>
    </xf>
    <xf numFmtId="165" fontId="5" fillId="5" borderId="2" applyAlignment="1" pivotButton="0" quotePrefix="0" xfId="0">
      <alignment horizontal="center" vertical="center"/>
    </xf>
    <xf numFmtId="0" fontId="22" fillId="0" borderId="0" applyAlignment="1" pivotButton="0" quotePrefix="0" xfId="0">
      <alignment horizontal="left" vertical="center"/>
    </xf>
    <xf numFmtId="0" fontId="9" fillId="5" borderId="2" applyAlignment="1" pivotButton="0" quotePrefix="0" xfId="0">
      <alignment horizontal="center" vertical="center"/>
    </xf>
    <xf numFmtId="0" fontId="0" fillId="0" borderId="0" pivotButton="0" quotePrefix="0" xfId="0"/>
    <xf numFmtId="0" fontId="9" fillId="0" borderId="1" applyAlignment="1" pivotButton="0" quotePrefix="0" xfId="0">
      <alignment horizontal="left" vertical="center"/>
    </xf>
    <xf numFmtId="164" fontId="9" fillId="12" borderId="1" applyAlignment="1" pivotButton="0" quotePrefix="0" xfId="0">
      <alignment horizontal="center" vertical="center"/>
    </xf>
    <xf numFmtId="0" fontId="5" fillId="12" borderId="1" applyAlignment="1" pivotButton="0" quotePrefix="0" xfId="0">
      <alignment horizontal="center" vertical="center"/>
    </xf>
    <xf numFmtId="165" fontId="5" fillId="12" borderId="1" applyAlignment="1" pivotButton="0" quotePrefix="0" xfId="0">
      <alignment horizontal="center" vertical="center"/>
    </xf>
    <xf numFmtId="164" fontId="18" fillId="12" borderId="1" applyAlignment="1" pivotButton="0" quotePrefix="0" xfId="0">
      <alignment horizontal="center" vertical="center"/>
    </xf>
    <xf numFmtId="0" fontId="11" fillId="12" borderId="1" applyAlignment="1" pivotButton="0" quotePrefix="0" xfId="0">
      <alignment horizontal="left" vertical="center" wrapText="1"/>
    </xf>
    <xf numFmtId="164" fontId="9" fillId="0" borderId="1" applyAlignment="1" pivotButton="0" quotePrefix="0" xfId="0">
      <alignment horizontal="center" vertical="center"/>
    </xf>
    <xf numFmtId="0" fontId="5" fillId="0" borderId="1" applyAlignment="1" pivotButton="0" quotePrefix="0" xfId="0">
      <alignment horizontal="center" vertical="center"/>
    </xf>
    <xf numFmtId="165" fontId="5" fillId="0" borderId="1" applyAlignment="1" pivotButton="0" quotePrefix="0" xfId="0">
      <alignment horizontal="center" vertical="center"/>
    </xf>
    <xf numFmtId="164" fontId="18" fillId="0" borderId="1" applyAlignment="1" pivotButton="0" quotePrefix="0" xfId="0">
      <alignment horizontal="center" vertical="center"/>
    </xf>
    <xf numFmtId="0" fontId="11" fillId="0" borderId="1" applyAlignment="1" pivotButton="0" quotePrefix="0" xfId="0">
      <alignment horizontal="left" vertical="center" wrapText="1"/>
    </xf>
    <xf numFmtId="0" fontId="0" fillId="0" borderId="0" applyAlignment="1" pivotButton="0" quotePrefix="0" xfId="0">
      <alignment vertical="top" wrapText="1"/>
    </xf>
    <xf numFmtId="0" fontId="25" fillId="2" borderId="1" applyAlignment="1" pivotButton="0" quotePrefix="0" xfId="0">
      <alignment horizontal="left" vertical="center"/>
    </xf>
    <xf numFmtId="0" fontId="0" fillId="0" borderId="3" pivotButton="0" quotePrefix="0" xfId="0"/>
    <xf numFmtId="0" fontId="0" fillId="0" borderId="4" pivotButton="0" quotePrefix="0" xfId="0"/>
    <xf numFmtId="0" fontId="5" fillId="5" borderId="1" applyAlignment="1" pivotButton="0" quotePrefix="0" xfId="0">
      <alignment horizontal="left" vertical="center"/>
    </xf>
    <xf numFmtId="0" fontId="9" fillId="5" borderId="1" applyAlignment="1" pivotButton="0" quotePrefix="0" xfId="0">
      <alignment horizontal="left" vertical="center"/>
    </xf>
    <xf numFmtId="164" fontId="18" fillId="5" borderId="1" applyAlignment="1" pivotButton="0" quotePrefix="0" xfId="0">
      <alignment horizontal="center" vertical="center"/>
    </xf>
    <xf numFmtId="165" fontId="5" fillId="5" borderId="1" applyAlignment="1" pivotButton="0" quotePrefix="0" xfId="0">
      <alignment horizontal="center" vertical="center"/>
    </xf>
    <xf numFmtId="0" fontId="23" fillId="2" borderId="1" applyAlignment="1" pivotButton="0" quotePrefix="0" xfId="0">
      <alignment horizontal="left" vertical="center"/>
    </xf>
    <xf numFmtId="0" fontId="18" fillId="5" borderId="1" applyAlignment="1" pivotButton="0" quotePrefix="0" xfId="0">
      <alignment horizontal="left"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B2:B67"/>
  <sheetViews>
    <sheetView showGridLines="0" workbookViewId="0">
      <selection activeCell="A1" sqref="A1"/>
    </sheetView>
  </sheetViews>
  <sheetFormatPr baseColWidth="8" defaultColWidth="14.43" defaultRowHeight="15" customHeight="1"/>
  <cols>
    <col width="2" customWidth="1" style="78" min="1" max="1"/>
    <col width="100" customWidth="1" style="78" min="2" max="2"/>
    <col width="8.710000000000001" customWidth="1" style="78" min="3" max="26"/>
  </cols>
  <sheetData>
    <row r="2">
      <c r="B2" s="1" t="inlineStr">
        <is>
          <t>Mobile Financial App Accessibility Scorecard — Methodology</t>
        </is>
      </c>
    </row>
    <row r="3">
      <c r="B3" s="2" t="inlineStr">
        <is>
          <t>A standards-based, evidence-scored framework for rating banking / fintech apps on accessibility for blind and low-vision users</t>
        </is>
      </c>
    </row>
    <row r="6">
      <c r="B6" s="4" t="inlineStr">
        <is>
          <t>1. Global standards this scorecard is built on</t>
        </is>
      </c>
    </row>
    <row r="7">
      <c r="B7" s="5" t="inlineStr">
        <is>
          <t>• WCAG 2.2 (W3C, Oct 2023) — the internationally recognised benchmark for digital accessibility. WCAG 2.0 is also formally an ISO standard (ISO/IEC 40500:2012). Level AA is the conformance target referenced by almost every accessibility law worldwide (EU EN 301 549, US Section 508, Canada's AODA, UK Equality Act guidance, Kenya's ICT Accessibility Standards, etc.).</t>
        </is>
      </c>
    </row>
    <row r="8">
      <c r="B8" s="5" t="inlineStr">
        <is>
          <t>• WCAG2ICT (W3C Group Note, updated Oct 2024 for WCAG 2.1/2.2, and Aug 2025 to add Level AAA) — this is applied directly, criterion by criterion, in the 'WCAG2ICT interpretation' column of each app tab. It tells you how to reinterpret a web-authored success criterion for native software: 'web page' becomes 'software' or 'screen/view', 'keyboard' becomes 'keyboard interface' (explicitly including platform assistive technologies such as Switch Access, not only a physical keyboard), and 'programmatically determined' becomes 'exposed via the platform's accessibility API' (Android AccessibilityNodeInfo / iOS UIAccessibility) — which is exactly what Google Accessibility Scanner is testing when it flags a missing label.</t>
        </is>
      </c>
    </row>
    <row r="9">
      <c r="B9" s="9" t="inlineStr">
        <is>
          <t>• Criteria WCAG2ICT-based regulation excludes for non-web software — this scorecard follows Section 508 and EN 301 549, which both state that 2.4.1 Bypass Blocks, 2.4.5 Multiple Ways, 3.2.3 Consistent Navigation and 3.2.4 Consistent Identification do not apply to non-web software (EN 301 549 additionally excludes 2.4.2 Page Titled and 3.1.2 Language of Parts). The first three are simply not included in the checklist. 3.2.4 is kept as a visible 'N/A' row rather than silently dropped, so it's clear the exclusion was a deliberate, sourced decision and not an oversight.</t>
        </is>
      </c>
    </row>
    <row r="10">
      <c r="B10" s="5" t="inlineStr">
        <is>
          <t>• Platform accessibility guidelines — Android Accessibility Developer Checklist (48x48dp minimum touch target) and Apple Human Interface Guidelines (44x44pt), used alongside WCAG's own (lower) 24x24px minimum, since these are the practical benchmarks app developers are actually held to.</t>
        </is>
      </c>
    </row>
    <row r="11">
      <c r="B11" s="5" t="inlineStr">
        <is>
          <t>• VPAT / EN 301 549 style reporting — the scoring table below follows the same logic used in a Voluntary Product Accessibility Template: each criterion is rated against evidence, not opinion, so the result is defensible and auditable by a third party.</t>
        </is>
      </c>
    </row>
    <row r="12">
      <c r="B12" s="5" t="inlineStr">
        <is>
          <t>• Functional relevance weighting — because this research is specifically about blind and low-vision users (not accessibility in general), each criterion also carries a 'Relevance weight' reflecting how much that specific criterion affects a screen-reader-dependent user, following the 'Functional Performance' approach used in EN 301 549 and Section 508.</t>
        </is>
      </c>
    </row>
    <row r="14">
      <c r="B14" s="4" t="inlineStr">
        <is>
          <t>2. Why these specific success criteria were selected</t>
        </is>
      </c>
    </row>
    <row r="15">
      <c r="B15" s="5" t="inlineStr">
        <is>
          <t>WCAG 2.2 has 87 success criteria in total. This scorecard does not use all of them, and the selection was not arbitrary — it follows a explicit filter, applied in this order:</t>
        </is>
      </c>
    </row>
    <row r="16">
      <c r="B16" s="12" t="inlineStr">
        <is>
          <t>Step 1 — Start from the full WCAG 2.2 set (32 Level A, 24 Level AA, 31 Level AAA).</t>
        </is>
      </c>
    </row>
    <row r="17">
      <c r="B17" s="5" t="inlineStr">
        <is>
          <t>Step 2 — Remove criteria that WCAG2ICT-based regulation (Section 508, EN 301 549) says do not apply to non-web software at all: 2.4.1 Bypass Blocks, 2.4.5 Multiple Ways, 3.2.3 Consistent Navigation, 2.4.2 Page Titled, 3.1.2 Language of Parts. 3.2.4 Consistent Identification is also excluded this way, but kept as a visible 'N/A' row rather than silently dropped. All six appear in the SC Glossary tab, marked Excluded, so the exclusion is auditable rather than assumed.</t>
        </is>
      </c>
    </row>
    <row r="18">
      <c r="B18" s="5" t="inlineStr">
        <is>
          <t>Step 3 — Remove criteria whose entire purpose is a different disability group, where this app has no relevant content. All nine Guideline 1.2 criteria (captions, audio description, sign language, media alternatives) are excluded on this basis: they exist to serve d/Deaf and hard-of-hearing users around time-based media, and BK Mobile's flows captured in this scan contain no video or audio content for them to apply to. This is a scope decision, not a finding — if a future version of the app adds instructional video, Guideline 1.2 would need to be added back in.</t>
        </is>
      </c>
    </row>
    <row r="19">
      <c r="B19" s="5" t="inlineStr">
        <is>
          <t>Step 4 — Remove criteria that cannot manifest on a touch-only native interface with no hover state, such as 1.4.13 Content on Hover or Focus (no mouse hover exists on a touchscreen).</t>
        </is>
      </c>
    </row>
    <row r="20">
      <c r="B20" s="5" t="inlineStr">
        <is>
          <t>Step 5 — From what remains, keep every criterion that materially affects whether a screen-reader-dependent user can perceive, understand, and operate the app — this is deliberately broader than 'blind-only' where a criterion is foundational (e.g. 4.1.2 Name, Role, Value underlies almost everything a screen reader announces).</t>
        </is>
      </c>
    </row>
    <row r="21" ht="15.75" customHeight="1" s="78">
      <c r="B21" s="5" t="inlineStr">
        <is>
          <t>Step 6 — Weight every kept criterion 1-3 by how directly it affects a blind user completing a financial transaction specifically, not accessibility in the abstract. This is why 4.1.2 Name/Role/Value, 3.3.4 Error Prevention (Financial), 3.3.7/3.3.8 Accessible Authentication, 3.3.1/3.3.2 (error and label handling on transfer forms), 2.4.3 Focus Order, 4.1.3 Status Messages, and 2.2.1 Timing Adjustable all carry weight 3 - each one gates whether a blind user can independently and safely move money, not just read a screen. Pure low-vision criteria (contrast: 1.4.3, 1.4.11) are weighted lower (1-2) because they matter for the broader 'visually impaired' population this research may also care about, but are not blind-specific barriers.</t>
        </is>
      </c>
    </row>
    <row r="22" ht="15.75" customHeight="1" s="78">
      <c r="B22" s="16" t="inlineStr">
        <is>
          <t>The result: 35 criteria are scored across the WCAG tabs (32 WCAG success criteria + the 12-item supplemental transaction checklist counted separately - see Section 7), and 6 more are listed in the SC Glossary as explicitly considered and excluded, with a stated reason for each. Nothing was left out silently.</t>
        </is>
      </c>
    </row>
    <row r="23" ht="15.75" customHeight="1" s="78"/>
    <row r="24" ht="15.75" customHeight="1" s="78">
      <c r="B24" s="4" t="inlineStr">
        <is>
          <t>3. How each success criterion is scored</t>
        </is>
      </c>
    </row>
    <row r="25" ht="15.75" customHeight="1" s="78">
      <c r="B25" s="5" t="inlineStr">
        <is>
          <t>Status (set per criterion, per app):</t>
        </is>
      </c>
    </row>
    <row r="26" ht="15.75" customHeight="1" s="78">
      <c r="B26" s="19" t="inlineStr">
        <is>
          <t xml:space="preserve">   Pass = 1.0  |  Partial = 0.5  |  Fail = 0.0  |  Not Tested / Not Applicable = excluded from the score entirely (but tracked, so it is visible what still needs manual verification).</t>
        </is>
      </c>
    </row>
    <row r="27" ht="15.75" customHeight="1" s="78">
      <c r="B27" s="5" t="inlineStr">
        <is>
          <t>Relevance weight (1–3, set once per criterion — already pre-filled using the reasoning above, but editable):</t>
        </is>
      </c>
    </row>
    <row r="28" ht="15.75" customHeight="1" s="78">
      <c r="B28" s="19" t="inlineStr">
        <is>
          <t xml:space="preserve">   3 = directly blocks or endangers a blind user (e.g. unlabelled controls, PIN privacy, transaction confirmation)  |  2 = moderate barrier  |  1 = primarily a low-vision / general-usability benefit.</t>
        </is>
      </c>
    </row>
    <row r="29" ht="15.75" customHeight="1" s="78">
      <c r="B29" s="5" t="inlineStr">
        <is>
          <t>Weighted score for a criterion = Relevance weight × Status score.</t>
        </is>
      </c>
    </row>
    <row r="30" ht="15.75" customHeight="1" s="78">
      <c r="B30" s="5" t="inlineStr">
        <is>
          <t>Overall Accessibility Score (0–100) = 100 × (sum of weighted scores achieved) ÷ (sum of weighted scores possible, counting only criteria marked Pass/Partial/Fail).</t>
        </is>
      </c>
    </row>
    <row r="31" ht="15.75" customHeight="1" s="78">
      <c r="B31" s="5" t="inlineStr">
        <is>
          <t>Level A % and Level AA % are computed the same way but restricted to criteria at that WCAG level — this lets you report a real, defensible '% conformance to WCAG 2.2 AA' figure alongside the composite score.</t>
        </is>
      </c>
    </row>
    <row r="32" ht="15.75" customHeight="1" s="78"/>
    <row r="33" ht="15.75" customHeight="1" s="78">
      <c r="B33" s="4" t="inlineStr">
        <is>
          <t>4. Rating bands for the composite score</t>
        </is>
      </c>
    </row>
    <row r="34" ht="15.75" customHeight="1" s="78"/>
    <row r="35" ht="15.75" customHeight="1" s="78">
      <c r="B35" s="24" t="inlineStr">
        <is>
          <t>Score range</t>
        </is>
      </c>
    </row>
    <row r="36" ht="15.75" customHeight="1" s="78">
      <c r="B36" s="27" t="inlineStr">
        <is>
          <t>90–100   —   Level AA–aligned</t>
        </is>
      </c>
    </row>
    <row r="37" ht="15.75" customHeight="1" s="78">
      <c r="B37" s="28" t="inlineStr">
        <is>
          <t>Meets or nearly meets WCAG AA for blind users on the paths tested; minor polish remaining.</t>
        </is>
      </c>
    </row>
    <row r="38" ht="15.75" customHeight="1" s="78">
      <c r="B38" s="27" t="inlineStr">
        <is>
          <t>75–89   —   Substantially accessible</t>
        </is>
      </c>
    </row>
    <row r="39" ht="15.75" customHeight="1" s="78">
      <c r="B39" s="28" t="inlineStr">
        <is>
          <t>Core tasks are usable with a screen reader; specific gaps remain (usually labelling or contrast).</t>
        </is>
      </c>
    </row>
    <row r="40" ht="15.75" customHeight="1" s="78">
      <c r="B40" s="30" t="inlineStr">
        <is>
          <t>50–74   —   Partially accessible — significant barriers</t>
        </is>
      </c>
    </row>
    <row r="41" ht="15.75" customHeight="1" s="78">
      <c r="B41" s="28" t="inlineStr">
        <is>
          <t>A blind user can access some functions independently but faces real risk or exclusion on others.</t>
        </is>
      </c>
    </row>
    <row r="42" ht="15.75" customHeight="1" s="78">
      <c r="B42" s="32" t="inlineStr">
        <is>
          <t>25–49   —   Largely inaccessible</t>
        </is>
      </c>
    </row>
    <row r="43" ht="15.75" customHeight="1" s="78">
      <c r="B43" s="28" t="inlineStr">
        <is>
          <t>Most core interactive elements are not usable independently with a screen reader.</t>
        </is>
      </c>
    </row>
    <row r="44" ht="15.75" customHeight="1" s="78">
      <c r="B44" s="35" t="inlineStr">
        <is>
          <t>0–24   —   Inaccessible / excludes blind users</t>
        </is>
      </c>
    </row>
    <row r="45" ht="15.75" customHeight="1" s="78">
      <c r="B45" s="28" t="inlineStr">
        <is>
          <t>Fundamental barriers prevent independent use of the app.</t>
        </is>
      </c>
    </row>
    <row r="46" ht="15.75" customHeight="1" s="78">
      <c r="B46" s="16" t="inlineStr">
        <is>
          <t>Note: WCAG conformance itself is strictly binary per criterion (a page either meets AA or it doesn't) — there is no official 'WCAG score'. The composite score here is a research instrument for comparing multiple apps consistently; always report the underlying Level A/AA % and the raw evidence alongside it, not the composite score alone.</t>
        </is>
      </c>
    </row>
    <row r="47" ht="15.75" customHeight="1" s="78"/>
    <row r="48" ht="15.75" customHeight="1" s="78">
      <c r="B48" s="4" t="inlineStr">
        <is>
          <t>5. Evidence discipline</t>
        </is>
      </c>
    </row>
    <row r="49" ht="54" customHeight="1" s="78">
      <c r="B49" s="5" t="inlineStr">
        <is>
          <t>Every 'Fail' or 'Partial' rating in this workbook must be traceable to either (a) an automated scanner finding with a screen/coordinate reference, (b) a documented manual test with a screen reader, or (c) a screen-cited observation from the screenshot review (Section 8, Step 3), which a researcher should spot-check before publication. 'Not Tested' is always preferable to guessing — it is scored as excluded rather than penalised, so there is no incentive to mark something Fail just to move it out of 'unknown'.</t>
        </is>
      </c>
    </row>
    <row r="50" ht="15.75" customHeight="1" s="78"/>
    <row r="51" ht="15.75" customHeight="1" s="78">
      <c r="B51" s="4" t="inlineStr">
        <is>
          <t>6. How to use this workbook for multiple apps</t>
        </is>
      </c>
    </row>
    <row r="52" ht="15.75" customHeight="1" s="78">
      <c r="B52" s="5" t="inlineStr">
        <is>
          <t>1. Duplicate the 'App Template' tab and rename it to the app being scored (e.g. 'Equity Mobile', 'M-Pesa').</t>
        </is>
      </c>
    </row>
    <row r="53" ht="15.75" customHeight="1" s="78">
      <c r="B53" s="5" t="inlineStr">
        <is>
          <t>2. Fill in the Status, Evidence count, and Notes columns (blue text) from your scan/manual test results. Leave Relevance weight as-is unless you have a reason to change it for that app.</t>
        </is>
      </c>
    </row>
    <row r="54" ht="15.75" customHeight="1" s="78">
      <c r="B54" s="5" t="inlineStr">
        <is>
          <t>3. The Score Summary block at the bottom of each app tab recalculates automatically.</t>
        </is>
      </c>
    </row>
    <row r="55" ht="15.75" customHeight="1" s="78">
      <c r="B55" s="5" t="inlineStr">
        <is>
          <t>4. Add a row for the app on the 'Comparison Dashboard' tab, pointing its formulas at the new tab's summary cells (copy an existing row and change the sheet name reference).</t>
        </is>
      </c>
    </row>
    <row r="56" ht="15.75" customHeight="1" s="78"/>
    <row r="57" ht="15.75" customHeight="1" s="78">
      <c r="B57" s="4" t="inlineStr">
        <is>
          <t>7. Why there is a separate 'Financial Transaction Accessibility' tab</t>
        </is>
      </c>
    </row>
    <row r="58" ht="15.75" customHeight="1" s="78">
      <c r="B58" s="5" t="inlineStr">
        <is>
          <t>WCAG governs on-screen content and controls; it was not written for payments and has no criteria for receipts, USSD/IVR channels, or currency read-back correctness. Each app therefore gets a second, supplemental checklist ('&lt;App&gt; - Transactions') covering exactly those gaps, scored the same way (weight x status) but kept as its own number rather than blended into the WCAG score — so a reader can see WCAG conformance and payment-specific accessibility separately, since they answer different questions and are backed by different standards (GSMA Mobile Money Accessibility Guidelines, ITU-T F.921, EN 301 549's authentication/real-time-transaction clauses).</t>
        </is>
      </c>
    </row>
    <row r="59" ht="15.75" customHeight="1" s="78">
      <c r="B59" s="16" t="inlineStr">
        <is>
          <t>The most consequential item on that checklist for East Africa specifically is T6 (a non-touchscreen channel such as USSD, IVR, or agent-assisted banking): most mobile money usage in the region happens outside smartphone apps entirely, and this scorecard — like most app-focused accessibility audits — does not evaluate that channel at all. Any comparative claim about an app's accessibility should say explicitly that it covers the smartphone app only.</t>
        </is>
      </c>
    </row>
    <row r="60" ht="15.75" customHeight="1" s="78"/>
    <row r="61" ht="15.75" customHeight="1" s="78">
      <c r="B61" s="4" t="inlineStr">
        <is>
          <t>8. Evaluation workflow - how each app is scored (Sections 3-7 describe the scoring; this is the process that produces the inputs)</t>
        </is>
      </c>
    </row>
    <row r="62" ht="67.5" customHeight="1" s="78">
      <c r="B62" s="5" t="inlineStr">
        <is>
          <t>Step 1 - Capture. The tester installs the app on an Android phone and runs Google Accessibility Scanner in recording mode while walking through the core flows: login, home, send money (own account, other bank), airtime or bills, transaction history, and support. Each session exports a zip containing screenN.png (the screen, with every flagged element outlined) and a matching reportN.txt (the list of findings for that screen). Several sessions per app are allowed and are pooled.</t>
        </is>
      </c>
    </row>
    <row r="63" ht="94.5" customHeight="1" s="78">
      <c r="B63" s="5" t="inlineStr">
        <is>
          <t>Step 2 - Automated tally of scanner findings. A script (evaluation_tools/parse_scanner_reports.py) reads every reportN.txt and splits it into individual findings (category, element id or screen coordinates, message). It counts each category and extracts the measured values: contrast ratios and colour pairs, and touch-target sizes split into &lt;24dp, 24-43dp and 44dp+. Categories map to success criteria as follows. Item label -&gt; 1.1.1, 2.4.4 and 4.1.2. Unexposed Text -&gt; 1.1.1 and 2.5.3. Clickable items and Item descriptions -&gt; 4.1.2 and 1.3.1. Text contrast -&gt; 1.4.3. Image contrast -&gt; 1.4.11. Touch target -&gt; 2.5.8 and 2.5.5. Text Scaling -&gt; 1.4.4. These counts fill the 'Instances found' column. The script was validated by re-running it on the BK Mobile scans: it reproduces the BK counts exactly (146 / 47 / 131 / 246 / 8 / 4).</t>
        </is>
      </c>
    </row>
    <row r="64" ht="148.5" customHeight="1" s="78">
      <c r="B64" s="5" t="inlineStr">
        <is>
          <t>Step 3 - Screenshot review (AI-assisted visual inspection). The scanner reports element ids and coordinates, but not what the control is or what the flow contains. For example, it cannot say whether a confirm-transfer screen exists, whether login offers biometrics, or whether a field's label disappears once typing starts. Yet criteria such as 3.3.2, 3.3.4, 3.3.7 and T1, T7, T9 and T12 depend on exactly that. So every screenshot is opened next to its report and reviewed by a vision-capable AI model (Claude, Anthropic), one reviewer per app, working in parallel. Each reviewer follows the same fixed 12-point checklist (evaluation_tools/screenshot_review_checklist.md): (1) screen inventory, (2) authentication method, (3) form labels, persistent vs placeholder-only, and saved beneficiaries, (4) review / confirm screen, fee, receipt, (5) error messages and timers, (6) show / hide balance and colour-only states, (7) screen titles, (8) gestures, (9) support, fraud, language and statement channels, (10) which visible control each scanner finding refers to, (11) currency formatting, (12) other barriers. Reviewers must state only what is visible, cite a screen number for every claim, and write 'not observed' rather than infer.</t>
        </is>
      </c>
    </row>
    <row r="65" ht="81" customHeight="1" s="78">
      <c r="B65" s="5" t="inlineStr">
        <is>
          <t>Step 4 - Rating. The scanner tallies (Step 2) and the screenshot evidence (Step 3) are combined into a Status for each criterion, using fixed rules so that apps are rated the same way. (a) A recurring scanner failure across screens = Fail. (b) 2.5.8: Partial if fewer than about 15% of flagged targets are under 24dp, Fail if more than 25%. (c) Any Text Scaling finding makes 1.4.4 Partial until clipping is visually confirmed. (d) A flow the scan did not capture (e.g. no login screen) = Not Tested, never Fail. (e) Criteria that need interaction (focus order, announcements, timing, keyboard / switch access) stay Not Tested. Every Notes cell cites the screen numbers it rests on.</t>
        </is>
      </c>
    </row>
    <row r="66" ht="54" customHeight="1" s="78">
      <c r="B66" s="5" t="inlineStr">
        <is>
          <t>Step 5 - Human verification and manual testing. Screenshot-review observations are AI-derived secondary evidence. Before publication a researcher should spot-check the cited screens, at minimum every Fail or Partial that rests on screenshot evidence alone. Every Not Tested row still needs a manual TalkBack / Switch Access session, which is the only way to move it to a scored status.</t>
        </is>
      </c>
    </row>
    <row r="67" ht="67.5" customHeight="1" s="78">
      <c r="B67" s="16" t="inlineStr">
        <is>
          <t>Known limitations of Steps 2-3. The visual review can misread small text (e.g. 'RWF' read as 'RWE'). Screens captured mid-animation or behind a keyboard produce spurious contrast results (e.g. 1.01:1), which are called out as artefacts in the Notes. Hybrid / WebView apps (e.g. Fidelity) defeat the scanner's label checks entirely, so a zero label count there means 'not evaluable', not 'pass'. Screenshots contain personal data (names, account numbers, BVN) and must be redacted before being shared or published.</t>
        </is>
      </c>
    </row>
    <row r="68" ht="15.75" customHeight="1" s="78"/>
    <row r="69" ht="15.75" customHeight="1" s="78"/>
    <row r="70" ht="15.75" customHeight="1" s="78"/>
    <row r="71" ht="15.75" customHeight="1" s="78"/>
    <row r="72" ht="15.75" customHeight="1" s="78"/>
    <row r="73" ht="15.75" customHeight="1" s="78"/>
    <row r="74" ht="15.75" customHeight="1" s="78"/>
    <row r="75" ht="15.75" customHeight="1" s="78"/>
    <row r="76" ht="15.75" customHeight="1" s="78"/>
    <row r="77" ht="15.75" customHeight="1" s="78"/>
    <row r="78" ht="15.75" customHeight="1" s="78"/>
    <row r="79" ht="15.75" customHeight="1" s="78"/>
    <row r="80" ht="15.75" customHeight="1" s="78"/>
    <row r="81" ht="15.75" customHeight="1" s="78"/>
    <row r="82" ht="15.75" customHeight="1" s="78"/>
    <row r="83" ht="15.75" customHeight="1" s="78"/>
    <row r="84" ht="15.75" customHeight="1" s="78"/>
    <row r="85" ht="15.75" customHeight="1" s="78"/>
    <row r="86" ht="15.75" customHeight="1" s="78"/>
    <row r="87" ht="15.75" customHeight="1" s="78"/>
    <row r="88" ht="15.75" customHeight="1" s="78"/>
    <row r="89" ht="15.75" customHeight="1" s="78"/>
    <row r="90" ht="15.75" customHeight="1" s="78"/>
    <row r="91" ht="15.75" customHeight="1" s="78"/>
    <row r="92" ht="15.75" customHeight="1" s="78"/>
    <row r="93" ht="15.75" customHeight="1" s="78"/>
    <row r="94" ht="15.75" customHeight="1" s="78"/>
    <row r="95" ht="15.75" customHeight="1" s="78"/>
    <row r="96" ht="15.75" customHeight="1" s="78"/>
    <row r="97" ht="15.75" customHeight="1" s="78"/>
    <row r="98" ht="15.75" customHeight="1" s="78"/>
    <row r="99" ht="15.75" customHeight="1" s="78"/>
    <row r="100" ht="15.75" customHeight="1" s="78"/>
    <row r="101" ht="15.75" customHeight="1" s="78"/>
    <row r="102" ht="15.75" customHeight="1" s="78"/>
    <row r="103" ht="15.75" customHeight="1" s="78"/>
    <row r="104" ht="15.75" customHeight="1" s="78"/>
    <row r="105" ht="15.75" customHeight="1" s="78"/>
    <row r="106" ht="15.75" customHeight="1" s="78"/>
    <row r="107" ht="15.75" customHeight="1" s="78"/>
    <row r="108" ht="15.75" customHeight="1" s="78"/>
    <row r="109" ht="15.75" customHeight="1" s="78"/>
    <row r="110" ht="15.75" customHeight="1" s="78"/>
    <row r="111" ht="15.75" customHeight="1" s="78"/>
    <row r="112" ht="15.75" customHeight="1" s="78"/>
    <row r="113" ht="15.75" customHeight="1" s="78"/>
    <row r="114" ht="15.75" customHeight="1" s="78"/>
    <row r="115" ht="15.75" customHeight="1" s="78"/>
    <row r="116" ht="15.75" customHeight="1" s="78"/>
    <row r="117" ht="15.75" customHeight="1" s="78"/>
    <row r="118" ht="15.75" customHeight="1" s="78"/>
    <row r="119" ht="15.75" customHeight="1" s="78"/>
    <row r="120" ht="15.75" customHeight="1" s="78"/>
    <row r="121" ht="15.75" customHeight="1" s="78"/>
    <row r="122" ht="15.75" customHeight="1" s="78"/>
    <row r="123" ht="15.75" customHeight="1" s="78"/>
    <row r="124" ht="15.75" customHeight="1" s="78"/>
    <row r="125" ht="15.75" customHeight="1" s="78"/>
    <row r="126" ht="15.75" customHeight="1" s="78"/>
    <row r="127" ht="15.75" customHeight="1" s="78"/>
    <row r="128" ht="15.75" customHeight="1" s="78"/>
    <row r="129" ht="15.75" customHeight="1" s="78"/>
    <row r="130" ht="15.75" customHeight="1" s="78"/>
    <row r="131" ht="15.75" customHeight="1" s="78"/>
    <row r="132" ht="15.75" customHeight="1" s="78"/>
    <row r="133" ht="15.75" customHeight="1" s="78"/>
    <row r="134" ht="15.75" customHeight="1" s="78"/>
    <row r="135" ht="15.75" customHeight="1" s="78"/>
    <row r="136" ht="15.75" customHeight="1" s="78"/>
    <row r="137" ht="15.75" customHeight="1" s="78"/>
    <row r="138" ht="15.75" customHeight="1" s="78"/>
    <row r="139" ht="15.75" customHeight="1" s="78"/>
    <row r="140" ht="15.75" customHeight="1" s="78"/>
    <row r="141" ht="15.75" customHeight="1" s="78"/>
    <row r="142" ht="15.75" customHeight="1" s="78"/>
    <row r="143" ht="15.75" customHeight="1" s="78"/>
    <row r="144" ht="15.75" customHeight="1" s="78"/>
    <row r="145" ht="15.75" customHeight="1" s="78"/>
    <row r="146" ht="15.75" customHeight="1" s="78"/>
    <row r="147" ht="15.75" customHeight="1" s="78"/>
    <row r="148" ht="15.75" customHeight="1" s="78"/>
    <row r="149" ht="15.75" customHeight="1" s="78"/>
    <row r="150" ht="15.75" customHeight="1" s="78"/>
    <row r="151" ht="15.75" customHeight="1" s="78"/>
    <row r="152" ht="15.75" customHeight="1" s="78"/>
    <row r="153" ht="15.75" customHeight="1" s="78"/>
    <row r="154" ht="15.75" customHeight="1" s="78"/>
    <row r="155" ht="15.75" customHeight="1" s="78"/>
    <row r="156" ht="15.75" customHeight="1" s="78"/>
    <row r="157" ht="15.75" customHeight="1" s="78"/>
    <row r="158" ht="15.75" customHeight="1" s="78"/>
    <row r="159" ht="15.75" customHeight="1" s="78"/>
    <row r="160" ht="15.75" customHeight="1" s="78"/>
    <row r="161" ht="15.75" customHeight="1" s="78"/>
    <row r="162" ht="15.75" customHeight="1" s="78"/>
    <row r="163" ht="15.75" customHeight="1" s="78"/>
    <row r="164" ht="15.75" customHeight="1" s="78"/>
    <row r="165" ht="15.75" customHeight="1" s="78"/>
    <row r="166" ht="15.75" customHeight="1" s="78"/>
    <row r="167" ht="15.75" customHeight="1" s="78"/>
    <row r="168" ht="15.75" customHeight="1" s="78"/>
    <row r="169" ht="15.75" customHeight="1" s="78"/>
    <row r="170" ht="15.75" customHeight="1" s="78"/>
    <row r="171" ht="15.75" customHeight="1" s="78"/>
    <row r="172" ht="15.75" customHeight="1" s="78"/>
    <row r="173" ht="15.75" customHeight="1" s="78"/>
    <row r="174" ht="15.75" customHeight="1" s="78"/>
    <row r="175" ht="15.75" customHeight="1" s="78"/>
    <row r="176" ht="15.75" customHeight="1" s="78"/>
    <row r="177" ht="15.75" customHeight="1" s="78"/>
    <row r="178" ht="15.75" customHeight="1" s="78"/>
    <row r="179" ht="15.75" customHeight="1" s="78"/>
    <row r="180" ht="15.75" customHeight="1" s="78"/>
    <row r="181" ht="15.75" customHeight="1" s="78"/>
    <row r="182" ht="15.75" customHeight="1" s="78"/>
    <row r="183" ht="15.75" customHeight="1" s="78"/>
    <row r="184" ht="15.75" customHeight="1" s="78"/>
    <row r="185" ht="15.75" customHeight="1" s="78"/>
    <row r="186" ht="15.75" customHeight="1" s="78"/>
    <row r="187" ht="15.75" customHeight="1" s="78"/>
    <row r="188" ht="15.75" customHeight="1" s="78"/>
    <row r="189" ht="15.75" customHeight="1" s="78"/>
    <row r="190" ht="15.75" customHeight="1" s="78"/>
    <row r="191" ht="15.75" customHeight="1" s="78"/>
    <row r="192" ht="15.75" customHeight="1" s="78"/>
    <row r="193" ht="15.75" customHeight="1" s="78"/>
    <row r="194" ht="15.75" customHeight="1" s="78"/>
    <row r="195" ht="15.75" customHeight="1" s="78"/>
    <row r="196" ht="15.75" customHeight="1" s="78"/>
    <row r="197" ht="15.75" customHeight="1" s="78"/>
    <row r="198" ht="15.75" customHeight="1" s="78"/>
    <row r="199" ht="15.75" customHeight="1" s="78"/>
    <row r="200" ht="15.75" customHeight="1" s="78"/>
    <row r="201" ht="15.75" customHeight="1" s="78"/>
    <row r="202" ht="15.75" customHeight="1" s="78"/>
    <row r="203" ht="15.75" customHeight="1" s="78"/>
    <row r="204" ht="15.75" customHeight="1" s="78"/>
    <row r="205" ht="15.75" customHeight="1" s="78"/>
    <row r="206" ht="15.75" customHeight="1" s="78"/>
    <row r="207" ht="15.75" customHeight="1" s="78"/>
    <row r="208" ht="15.75" customHeight="1" s="78"/>
    <row r="209" ht="15.75" customHeight="1" s="78"/>
    <row r="210" ht="15.75" customHeight="1" s="78"/>
    <row r="211" ht="15.75" customHeight="1" s="78"/>
    <row r="212" ht="15.75" customHeight="1" s="78"/>
    <row r="213" ht="15.75" customHeight="1" s="78"/>
    <row r="214" ht="15.75" customHeight="1" s="78"/>
    <row r="215" ht="15.75" customHeight="1" s="78"/>
    <row r="216" ht="15.75" customHeight="1" s="78"/>
    <row r="217" ht="15.75" customHeight="1" s="78"/>
    <row r="218" ht="15.75" customHeight="1" s="78"/>
    <row r="219" ht="15.75" customHeight="1" s="78"/>
    <row r="220" ht="15.75" customHeight="1" s="78"/>
    <row r="221" ht="15.75" customHeight="1" s="78"/>
    <row r="222" ht="15.75" customHeight="1" s="78"/>
    <row r="223" ht="15.75" customHeight="1" s="78"/>
    <row r="224" ht="15.75" customHeight="1" s="78"/>
    <row r="225" ht="15.75" customHeight="1" s="78"/>
    <row r="226" ht="15.75" customHeight="1" s="78"/>
    <row r="227" ht="15.75" customHeight="1" s="78"/>
    <row r="228" ht="15.75" customHeight="1" s="78"/>
    <row r="229" ht="15.75" customHeight="1" s="78"/>
    <row r="230" ht="15.75" customHeight="1" s="78"/>
    <row r="231" ht="15.75" customHeight="1" s="78"/>
    <row r="232" ht="15.75" customHeight="1" s="78"/>
    <row r="233" ht="15.75" customHeight="1" s="78"/>
    <row r="234" ht="15.75" customHeight="1" s="78"/>
    <row r="235" ht="15.75" customHeight="1" s="78"/>
    <row r="236" ht="15.75" customHeight="1" s="78"/>
    <row r="237" ht="15.75" customHeight="1" s="78"/>
    <row r="238" ht="15.75" customHeight="1" s="78"/>
    <row r="239" ht="15.75" customHeight="1" s="78"/>
    <row r="240" ht="15.75" customHeight="1" s="78"/>
    <row r="241" ht="15.75" customHeight="1" s="78"/>
    <row r="242" ht="15.75" customHeight="1" s="78"/>
    <row r="243" ht="15.75" customHeight="1" s="78"/>
    <row r="244" ht="15.75" customHeight="1" s="78"/>
    <row r="245" ht="15.75" customHeight="1" s="78"/>
    <row r="246" ht="15.75" customHeight="1" s="78"/>
    <row r="247" ht="15.75" customHeight="1" s="78"/>
    <row r="248" ht="15.75" customHeight="1" s="78"/>
    <row r="249" ht="15.75" customHeight="1" s="78"/>
    <row r="250" ht="15.75" customHeight="1" s="78"/>
    <row r="251" ht="15.75" customHeight="1" s="78"/>
    <row r="252" ht="15.75" customHeight="1" s="78"/>
    <row r="253" ht="15.75" customHeight="1" s="78"/>
    <row r="254" ht="15.75" customHeight="1" s="78"/>
    <row r="255" ht="15.75" customHeight="1" s="78"/>
    <row r="256" ht="15.75" customHeight="1" s="78"/>
    <row r="257" ht="15.75" customHeight="1" s="78"/>
    <row r="258" ht="15.75" customHeight="1" s="78"/>
    <row r="259" ht="15.75" customHeight="1" s="78"/>
    <row r="260" ht="15.75" customHeight="1" s="78"/>
    <row r="261" ht="15.75" customHeight="1" s="78"/>
    <row r="262" ht="15.75" customHeight="1" s="78"/>
    <row r="263" ht="15.75" customHeight="1" s="78"/>
    <row r="264" ht="15.75" customHeight="1" s="78"/>
    <row r="265" ht="15.75" customHeight="1" s="78"/>
    <row r="266" ht="15.75" customHeight="1" s="78"/>
    <row r="267" ht="15.75" customHeight="1" s="78"/>
    <row r="268" ht="15.75" customHeight="1" s="78"/>
    <row r="269" ht="15.75" customHeight="1" s="78"/>
    <row r="270" ht="15.75" customHeight="1" s="78"/>
    <row r="271" ht="15.75" customHeight="1" s="78"/>
    <row r="272" ht="15.75" customHeight="1" s="78"/>
    <row r="273" ht="15.75" customHeight="1" s="78"/>
    <row r="274" ht="15.75" customHeight="1" s="78"/>
    <row r="275" ht="15.75" customHeight="1" s="78"/>
    <row r="276" ht="15.75" customHeight="1" s="78"/>
    <row r="277" ht="15.75" customHeight="1" s="78"/>
    <row r="278" ht="15.75" customHeight="1" s="78"/>
    <row r="279" ht="15.75" customHeight="1" s="78"/>
    <row r="280" ht="15.75" customHeight="1" s="78"/>
    <row r="281" ht="15.75" customHeight="1" s="78"/>
    <row r="282" ht="15.75" customHeight="1" s="78"/>
    <row r="283" ht="15.75" customHeight="1" s="78"/>
    <row r="284" ht="15.75" customHeight="1" s="78"/>
    <row r="285" ht="15.75" customHeight="1" s="78"/>
    <row r="286" ht="15.75" customHeight="1" s="78"/>
    <row r="287" ht="15.75" customHeight="1" s="78"/>
    <row r="288" ht="15.75" customHeight="1" s="78"/>
    <row r="289" ht="15.75" customHeight="1" s="78"/>
    <row r="290" ht="15.75" customHeight="1" s="78"/>
    <row r="291" ht="15.75" customHeight="1" s="78"/>
    <row r="292" ht="15.75" customHeight="1" s="78"/>
    <row r="293" ht="15.75" customHeight="1" s="78"/>
    <row r="294" ht="15.75" customHeight="1" s="78"/>
    <row r="295" ht="15.75" customHeight="1" s="78"/>
    <row r="296" ht="15.75" customHeight="1" s="78"/>
    <row r="297" ht="15.75" customHeight="1" s="78"/>
    <row r="298" ht="15.75" customHeight="1" s="78"/>
    <row r="299" ht="15.75" customHeight="1" s="78"/>
    <row r="300" ht="15.75" customHeight="1" s="78"/>
    <row r="301" ht="15.75" customHeight="1" s="78"/>
    <row r="302" ht="15.75" customHeight="1" s="78"/>
    <row r="303" ht="15.75" customHeight="1" s="78"/>
    <row r="304" ht="15.75" customHeight="1" s="78"/>
    <row r="305" ht="15.75" customHeight="1" s="78"/>
    <row r="306" ht="15.75" customHeight="1" s="78"/>
    <row r="307" ht="15.75" customHeight="1" s="78"/>
    <row r="308" ht="15.75" customHeight="1" s="78"/>
    <row r="309" ht="15.75" customHeight="1" s="78"/>
    <row r="310" ht="15.75" customHeight="1" s="78"/>
    <row r="311" ht="15.75" customHeight="1" s="78"/>
    <row r="312" ht="15.75" customHeight="1" s="78"/>
    <row r="313" ht="15.75" customHeight="1" s="78"/>
    <row r="314" ht="15.75" customHeight="1" s="78"/>
    <row r="315" ht="15.75" customHeight="1" s="78"/>
    <row r="316" ht="15.75" customHeight="1" s="78"/>
    <row r="317" ht="15.75" customHeight="1" s="78"/>
    <row r="318" ht="15.75" customHeight="1" s="78"/>
    <row r="319" ht="15.75" customHeight="1" s="78"/>
    <row r="320" ht="15.75" customHeight="1" s="78"/>
    <row r="321" ht="15.75" customHeight="1" s="78"/>
    <row r="322" ht="15.75" customHeight="1" s="78"/>
    <row r="323" ht="15.75" customHeight="1" s="78"/>
    <row r="324" ht="15.75" customHeight="1" s="78"/>
    <row r="325" ht="15.75" customHeight="1" s="78"/>
    <row r="326" ht="15.75" customHeight="1" s="78"/>
    <row r="327" ht="15.75" customHeight="1" s="78"/>
    <row r="328" ht="15.75" customHeight="1" s="78"/>
    <row r="329" ht="15.75" customHeight="1" s="78"/>
    <row r="330" ht="15.75" customHeight="1" s="78"/>
    <row r="331" ht="15.75" customHeight="1" s="78"/>
    <row r="332" ht="15.75" customHeight="1" s="78"/>
    <row r="333" ht="15.75" customHeight="1" s="78"/>
    <row r="334" ht="15.75" customHeight="1" s="78"/>
    <row r="335" ht="15.75" customHeight="1" s="78"/>
    <row r="336" ht="15.75" customHeight="1" s="78"/>
    <row r="337" ht="15.75" customHeight="1" s="78"/>
    <row r="338" ht="15.75" customHeight="1" s="78"/>
    <row r="339" ht="15.75" customHeight="1" s="78"/>
    <row r="340" ht="15.75" customHeight="1" s="78"/>
    <row r="341" ht="15.75" customHeight="1" s="78"/>
    <row r="342" ht="15.75" customHeight="1" s="78"/>
    <row r="343" ht="15.75" customHeight="1" s="78"/>
    <row r="344" ht="15.75" customHeight="1" s="78"/>
    <row r="345" ht="15.75" customHeight="1" s="78"/>
    <row r="346" ht="15.75" customHeight="1" s="78"/>
    <row r="347" ht="15.75" customHeight="1" s="78"/>
    <row r="348" ht="15.75" customHeight="1" s="78"/>
    <row r="349" ht="15.75" customHeight="1" s="78"/>
    <row r="350" ht="15.75" customHeight="1" s="78"/>
    <row r="351" ht="15.75" customHeight="1" s="78"/>
    <row r="352" ht="15.75" customHeight="1" s="78"/>
    <row r="353" ht="15.75" customHeight="1" s="78"/>
    <row r="354" ht="15.75" customHeight="1" s="78"/>
    <row r="355" ht="15.75" customHeight="1" s="78"/>
    <row r="356" ht="15.75" customHeight="1" s="78"/>
    <row r="357" ht="15.75" customHeight="1" s="78"/>
    <row r="358" ht="15.75" customHeight="1" s="78"/>
    <row r="359" ht="15.75" customHeight="1" s="78"/>
    <row r="360" ht="15.75" customHeight="1" s="78"/>
    <row r="361" ht="15.75" customHeight="1" s="78"/>
    <row r="362" ht="15.75" customHeight="1" s="78"/>
    <row r="363" ht="15.75" customHeight="1" s="78"/>
    <row r="364" ht="15.75" customHeight="1" s="78"/>
    <row r="365" ht="15.75" customHeight="1" s="78"/>
    <row r="366" ht="15.75" customHeight="1" s="78"/>
    <row r="367" ht="15.75" customHeight="1" s="78"/>
    <row r="368" ht="15.75" customHeight="1" s="78"/>
    <row r="369" ht="15.75" customHeight="1" s="78"/>
    <row r="370" ht="15.75" customHeight="1" s="78"/>
    <row r="371" ht="15.75" customHeight="1" s="78"/>
    <row r="372" ht="15.75" customHeight="1" s="78"/>
    <row r="373" ht="15.75" customHeight="1" s="78"/>
    <row r="374" ht="15.75" customHeight="1" s="78"/>
    <row r="375" ht="15.75" customHeight="1" s="78"/>
    <row r="376" ht="15.75" customHeight="1" s="78"/>
    <row r="377" ht="15.75" customHeight="1" s="78"/>
    <row r="378" ht="15.75" customHeight="1" s="78"/>
    <row r="379" ht="15.75" customHeight="1" s="78"/>
    <row r="380" ht="15.75" customHeight="1" s="78"/>
    <row r="381" ht="15.75" customHeight="1" s="78"/>
    <row r="382" ht="15.75" customHeight="1" s="78"/>
    <row r="383" ht="15.75" customHeight="1" s="78"/>
    <row r="384" ht="15.75" customHeight="1" s="78"/>
    <row r="385" ht="15.75" customHeight="1" s="78"/>
    <row r="386" ht="15.75" customHeight="1" s="78"/>
    <row r="387" ht="15.75" customHeight="1" s="78"/>
    <row r="388" ht="15.75" customHeight="1" s="78"/>
    <row r="389" ht="15.75" customHeight="1" s="78"/>
    <row r="390" ht="15.75" customHeight="1" s="78"/>
    <row r="391" ht="15.75" customHeight="1" s="78"/>
    <row r="392" ht="15.75" customHeight="1" s="78"/>
    <row r="393" ht="15.75" customHeight="1" s="78"/>
    <row r="394" ht="15.75" customHeight="1" s="78"/>
    <row r="395" ht="15.75" customHeight="1" s="78"/>
    <row r="396" ht="15.75" customHeight="1" s="78"/>
    <row r="397" ht="15.75" customHeight="1" s="78"/>
    <row r="398" ht="15.75" customHeight="1" s="78"/>
    <row r="399" ht="15.75" customHeight="1" s="78"/>
    <row r="400" ht="15.75" customHeight="1" s="78"/>
    <row r="401" ht="15.75" customHeight="1" s="78"/>
    <row r="402" ht="15.75" customHeight="1" s="78"/>
    <row r="403" ht="15.75" customHeight="1" s="78"/>
    <row r="404" ht="15.75" customHeight="1" s="78"/>
    <row r="405" ht="15.75" customHeight="1" s="78"/>
    <row r="406" ht="15.75" customHeight="1" s="78"/>
    <row r="407" ht="15.75" customHeight="1" s="78"/>
    <row r="408" ht="15.75" customHeight="1" s="78"/>
    <row r="409" ht="15.75" customHeight="1" s="78"/>
    <row r="410" ht="15.75" customHeight="1" s="78"/>
    <row r="411" ht="15.75" customHeight="1" s="78"/>
    <row r="412" ht="15.75" customHeight="1" s="78"/>
    <row r="413" ht="15.75" customHeight="1" s="78"/>
    <row r="414" ht="15.75" customHeight="1" s="78"/>
    <row r="415" ht="15.75" customHeight="1" s="78"/>
    <row r="416" ht="15.75" customHeight="1" s="78"/>
    <row r="417" ht="15.75" customHeight="1" s="78"/>
    <row r="418" ht="15.75" customHeight="1" s="78"/>
    <row r="419" ht="15.75" customHeight="1" s="78"/>
    <row r="420" ht="15.75" customHeight="1" s="78"/>
    <row r="421" ht="15.75" customHeight="1" s="78"/>
    <row r="422" ht="15.75" customHeight="1" s="78"/>
    <row r="423" ht="15.75" customHeight="1" s="78"/>
    <row r="424" ht="15.75" customHeight="1" s="78"/>
    <row r="425" ht="15.75" customHeight="1" s="78"/>
    <row r="426" ht="15.75" customHeight="1" s="78"/>
    <row r="427" ht="15.75" customHeight="1" s="78"/>
    <row r="428" ht="15.75" customHeight="1" s="78"/>
    <row r="429" ht="15.75" customHeight="1" s="78"/>
    <row r="430" ht="15.75" customHeight="1" s="78"/>
    <row r="431" ht="15.75" customHeight="1" s="78"/>
    <row r="432" ht="15.75" customHeight="1" s="78"/>
    <row r="433" ht="15.75" customHeight="1" s="78"/>
    <row r="434" ht="15.75" customHeight="1" s="78"/>
    <row r="435" ht="15.75" customHeight="1" s="78"/>
    <row r="436" ht="15.75" customHeight="1" s="78"/>
    <row r="437" ht="15.75" customHeight="1" s="78"/>
    <row r="438" ht="15.75" customHeight="1" s="78"/>
    <row r="439" ht="15.75" customHeight="1" s="78"/>
    <row r="440" ht="15.75" customHeight="1" s="78"/>
    <row r="441" ht="15.75" customHeight="1" s="78"/>
    <row r="442" ht="15.75" customHeight="1" s="78"/>
    <row r="443" ht="15.75" customHeight="1" s="78"/>
    <row r="444" ht="15.75" customHeight="1" s="78"/>
    <row r="445" ht="15.75" customHeight="1" s="78"/>
    <row r="446" ht="15.75" customHeight="1" s="78"/>
    <row r="447" ht="15.75" customHeight="1" s="78"/>
    <row r="448" ht="15.75" customHeight="1" s="78"/>
    <row r="449" ht="15.75" customHeight="1" s="78"/>
    <row r="450" ht="15.75" customHeight="1" s="78"/>
    <row r="451" ht="15.75" customHeight="1" s="78"/>
    <row r="452" ht="15.75" customHeight="1" s="78"/>
    <row r="453" ht="15.75" customHeight="1" s="78"/>
    <row r="454" ht="15.75" customHeight="1" s="78"/>
    <row r="455" ht="15.75" customHeight="1" s="78"/>
    <row r="456" ht="15.75" customHeight="1" s="78"/>
    <row r="457" ht="15.75" customHeight="1" s="78"/>
    <row r="458" ht="15.75" customHeight="1" s="78"/>
    <row r="459" ht="15.75" customHeight="1" s="78"/>
    <row r="460" ht="15.75" customHeight="1" s="78"/>
    <row r="461" ht="15.75" customHeight="1" s="78"/>
    <row r="462" ht="15.75" customHeight="1" s="78"/>
    <row r="463" ht="15.75" customHeight="1" s="78"/>
    <row r="464" ht="15.75" customHeight="1" s="78"/>
    <row r="465" ht="15.75" customHeight="1" s="78"/>
    <row r="466" ht="15.75" customHeight="1" s="78"/>
    <row r="467" ht="15.75" customHeight="1" s="78"/>
    <row r="468" ht="15.75" customHeight="1" s="78"/>
    <row r="469" ht="15.75" customHeight="1" s="78"/>
    <row r="470" ht="15.75" customHeight="1" s="78"/>
    <row r="471" ht="15.75" customHeight="1" s="78"/>
    <row r="472" ht="15.75" customHeight="1" s="78"/>
    <row r="473" ht="15.75" customHeight="1" s="78"/>
    <row r="474" ht="15.75" customHeight="1" s="78"/>
    <row r="475" ht="15.75" customHeight="1" s="78"/>
    <row r="476" ht="15.75" customHeight="1" s="78"/>
    <row r="477" ht="15.75" customHeight="1" s="78"/>
    <row r="478" ht="15.75" customHeight="1" s="78"/>
    <row r="479" ht="15.75" customHeight="1" s="78"/>
    <row r="480" ht="15.75" customHeight="1" s="78"/>
    <row r="481" ht="15.75" customHeight="1" s="78"/>
    <row r="482" ht="15.75" customHeight="1" s="78"/>
    <row r="483" ht="15.75" customHeight="1" s="78"/>
    <row r="484" ht="15.75" customHeight="1" s="78"/>
    <row r="485" ht="15.75" customHeight="1" s="78"/>
    <row r="486" ht="15.75" customHeight="1" s="78"/>
    <row r="487" ht="15.75" customHeight="1" s="78"/>
    <row r="488" ht="15.75" customHeight="1" s="78"/>
    <row r="489" ht="15.75" customHeight="1" s="78"/>
    <row r="490" ht="15.75" customHeight="1" s="78"/>
    <row r="491" ht="15.75" customHeight="1" s="78"/>
    <row r="492" ht="15.75" customHeight="1" s="78"/>
    <row r="493" ht="15.75" customHeight="1" s="78"/>
    <row r="494" ht="15.75" customHeight="1" s="78"/>
    <row r="495" ht="15.75" customHeight="1" s="78"/>
    <row r="496" ht="15.75" customHeight="1" s="78"/>
    <row r="497" ht="15.75" customHeight="1" s="78"/>
    <row r="498" ht="15.75" customHeight="1" s="78"/>
    <row r="499" ht="15.75" customHeight="1" s="78"/>
    <row r="500" ht="15.75" customHeight="1" s="78"/>
    <row r="501" ht="15.75" customHeight="1" s="78"/>
    <row r="502" ht="15.75" customHeight="1" s="78"/>
    <row r="503" ht="15.75" customHeight="1" s="78"/>
    <row r="504" ht="15.75" customHeight="1" s="78"/>
    <row r="505" ht="15.75" customHeight="1" s="78"/>
    <row r="506" ht="15.75" customHeight="1" s="78"/>
    <row r="507" ht="15.75" customHeight="1" s="78"/>
    <row r="508" ht="15.75" customHeight="1" s="78"/>
    <row r="509" ht="15.75" customHeight="1" s="78"/>
    <row r="510" ht="15.75" customHeight="1" s="78"/>
    <row r="511" ht="15.75" customHeight="1" s="78"/>
    <row r="512" ht="15.75" customHeight="1" s="78"/>
    <row r="513" ht="15.75" customHeight="1" s="78"/>
    <row r="514" ht="15.75" customHeight="1" s="78"/>
    <row r="515" ht="15.75" customHeight="1" s="78"/>
    <row r="516" ht="15.75" customHeight="1" s="78"/>
    <row r="517" ht="15.75" customHeight="1" s="78"/>
    <row r="518" ht="15.75" customHeight="1" s="78"/>
    <row r="519" ht="15.75" customHeight="1" s="78"/>
    <row r="520" ht="15.75" customHeight="1" s="78"/>
    <row r="521" ht="15.75" customHeight="1" s="78"/>
    <row r="522" ht="15.75" customHeight="1" s="78"/>
    <row r="523" ht="15.75" customHeight="1" s="78"/>
    <row r="524" ht="15.75" customHeight="1" s="78"/>
    <row r="525" ht="15.75" customHeight="1" s="78"/>
    <row r="526" ht="15.75" customHeight="1" s="78"/>
    <row r="527" ht="15.75" customHeight="1" s="78"/>
    <row r="528" ht="15.75" customHeight="1" s="78"/>
    <row r="529" ht="15.75" customHeight="1" s="78"/>
    <row r="530" ht="15.75" customHeight="1" s="78"/>
    <row r="531" ht="15.75" customHeight="1" s="78"/>
    <row r="532" ht="15.75" customHeight="1" s="78"/>
    <row r="533" ht="15.75" customHeight="1" s="78"/>
    <row r="534" ht="15.75" customHeight="1" s="78"/>
    <row r="535" ht="15.75" customHeight="1" s="78"/>
    <row r="536" ht="15.75" customHeight="1" s="78"/>
    <row r="537" ht="15.75" customHeight="1" s="78"/>
    <row r="538" ht="15.75" customHeight="1" s="78"/>
    <row r="539" ht="15.75" customHeight="1" s="78"/>
    <row r="540" ht="15.75" customHeight="1" s="78"/>
    <row r="541" ht="15.75" customHeight="1" s="78"/>
    <row r="542" ht="15.75" customHeight="1" s="78"/>
    <row r="543" ht="15.75" customHeight="1" s="78"/>
    <row r="544" ht="15.75" customHeight="1" s="78"/>
    <row r="545" ht="15.75" customHeight="1" s="78"/>
    <row r="546" ht="15.75" customHeight="1" s="78"/>
    <row r="547" ht="15.75" customHeight="1" s="78"/>
    <row r="548" ht="15.75" customHeight="1" s="78"/>
    <row r="549" ht="15.75" customHeight="1" s="78"/>
    <row r="550" ht="15.75" customHeight="1" s="78"/>
    <row r="551" ht="15.75" customHeight="1" s="78"/>
    <row r="552" ht="15.75" customHeight="1" s="78"/>
    <row r="553" ht="15.75" customHeight="1" s="78"/>
    <row r="554" ht="15.75" customHeight="1" s="78"/>
    <row r="555" ht="15.75" customHeight="1" s="78"/>
    <row r="556" ht="15.75" customHeight="1" s="78"/>
    <row r="557" ht="15.75" customHeight="1" s="78"/>
    <row r="558" ht="15.75" customHeight="1" s="78"/>
    <row r="559" ht="15.75" customHeight="1" s="78"/>
    <row r="560" ht="15.75" customHeight="1" s="78"/>
    <row r="561" ht="15.75" customHeight="1" s="78"/>
    <row r="562" ht="15.75" customHeight="1" s="78"/>
    <row r="563" ht="15.75" customHeight="1" s="78"/>
    <row r="564" ht="15.75" customHeight="1" s="78"/>
    <row r="565" ht="15.75" customHeight="1" s="78"/>
    <row r="566" ht="15.75" customHeight="1" s="78"/>
    <row r="567" ht="15.75" customHeight="1" s="78"/>
    <row r="568" ht="15.75" customHeight="1" s="78"/>
    <row r="569" ht="15.75" customHeight="1" s="78"/>
    <row r="570" ht="15.75" customHeight="1" s="78"/>
    <row r="571" ht="15.75" customHeight="1" s="78"/>
    <row r="572" ht="15.75" customHeight="1" s="78"/>
    <row r="573" ht="15.75" customHeight="1" s="78"/>
    <row r="574" ht="15.75" customHeight="1" s="78"/>
    <row r="575" ht="15.75" customHeight="1" s="78"/>
    <row r="576" ht="15.75" customHeight="1" s="78"/>
    <row r="577" ht="15.75" customHeight="1" s="78"/>
    <row r="578" ht="15.75" customHeight="1" s="78"/>
    <row r="579" ht="15.75" customHeight="1" s="78"/>
    <row r="580" ht="15.75" customHeight="1" s="78"/>
    <row r="581" ht="15.75" customHeight="1" s="78"/>
    <row r="582" ht="15.75" customHeight="1" s="78"/>
    <row r="583" ht="15.75" customHeight="1" s="78"/>
    <row r="584" ht="15.75" customHeight="1" s="78"/>
    <row r="585" ht="15.75" customHeight="1" s="78"/>
    <row r="586" ht="15.75" customHeight="1" s="78"/>
    <row r="587" ht="15.75" customHeight="1" s="78"/>
    <row r="588" ht="15.75" customHeight="1" s="78"/>
    <row r="589" ht="15.75" customHeight="1" s="78"/>
    <row r="590" ht="15.75" customHeight="1" s="78"/>
    <row r="591" ht="15.75" customHeight="1" s="78"/>
    <row r="592" ht="15.75" customHeight="1" s="78"/>
    <row r="593" ht="15.75" customHeight="1" s="78"/>
    <row r="594" ht="15.75" customHeight="1" s="78"/>
    <row r="595" ht="15.75" customHeight="1" s="78"/>
    <row r="596" ht="15.75" customHeight="1" s="78"/>
    <row r="597" ht="15.75" customHeight="1" s="78"/>
    <row r="598" ht="15.75" customHeight="1" s="78"/>
    <row r="599" ht="15.75" customHeight="1" s="78"/>
    <row r="600" ht="15.75" customHeight="1" s="78"/>
    <row r="601" ht="15.75" customHeight="1" s="78"/>
    <row r="602" ht="15.75" customHeight="1" s="78"/>
    <row r="603" ht="15.75" customHeight="1" s="78"/>
    <row r="604" ht="15.75" customHeight="1" s="78"/>
    <row r="605" ht="15.75" customHeight="1" s="78"/>
    <row r="606" ht="15.75" customHeight="1" s="78"/>
    <row r="607" ht="15.75" customHeight="1" s="78"/>
    <row r="608" ht="15.75" customHeight="1" s="78"/>
    <row r="609" ht="15.75" customHeight="1" s="78"/>
    <row r="610" ht="15.75" customHeight="1" s="78"/>
    <row r="611" ht="15.75" customHeight="1" s="78"/>
    <row r="612" ht="15.75" customHeight="1" s="78"/>
    <row r="613" ht="15.75" customHeight="1" s="78"/>
    <row r="614" ht="15.75" customHeight="1" s="78"/>
    <row r="615" ht="15.75" customHeight="1" s="78"/>
    <row r="616" ht="15.75" customHeight="1" s="78"/>
    <row r="617" ht="15.75" customHeight="1" s="78"/>
    <row r="618" ht="15.75" customHeight="1" s="78"/>
    <row r="619" ht="15.75" customHeight="1" s="78"/>
    <row r="620" ht="15.75" customHeight="1" s="78"/>
    <row r="621" ht="15.75" customHeight="1" s="78"/>
    <row r="622" ht="15.75" customHeight="1" s="78"/>
    <row r="623" ht="15.75" customHeight="1" s="78"/>
    <row r="624" ht="15.75" customHeight="1" s="78"/>
    <row r="625" ht="15.75" customHeight="1" s="78"/>
    <row r="626" ht="15.75" customHeight="1" s="78"/>
    <row r="627" ht="15.75" customHeight="1" s="78"/>
    <row r="628" ht="15.75" customHeight="1" s="78"/>
    <row r="629" ht="15.75" customHeight="1" s="78"/>
    <row r="630" ht="15.75" customHeight="1" s="78"/>
    <row r="631" ht="15.75" customHeight="1" s="78"/>
    <row r="632" ht="15.75" customHeight="1" s="78"/>
    <row r="633" ht="15.75" customHeight="1" s="78"/>
    <row r="634" ht="15.75" customHeight="1" s="78"/>
    <row r="635" ht="15.75" customHeight="1" s="78"/>
    <row r="636" ht="15.75" customHeight="1" s="78"/>
    <row r="637" ht="15.75" customHeight="1" s="78"/>
    <row r="638" ht="15.75" customHeight="1" s="78"/>
    <row r="639" ht="15.75" customHeight="1" s="78"/>
    <row r="640" ht="15.75" customHeight="1" s="78"/>
    <row r="641" ht="15.75" customHeight="1" s="78"/>
    <row r="642" ht="15.75" customHeight="1" s="78"/>
    <row r="643" ht="15.75" customHeight="1" s="78"/>
    <row r="644" ht="15.75" customHeight="1" s="78"/>
    <row r="645" ht="15.75" customHeight="1" s="78"/>
    <row r="646" ht="15.75" customHeight="1" s="78"/>
    <row r="647" ht="15.75" customHeight="1" s="78"/>
    <row r="648" ht="15.75" customHeight="1" s="78"/>
    <row r="649" ht="15.75" customHeight="1" s="78"/>
    <row r="650" ht="15.75" customHeight="1" s="78"/>
    <row r="651" ht="15.75" customHeight="1" s="78"/>
    <row r="652" ht="15.75" customHeight="1" s="78"/>
    <row r="653" ht="15.75" customHeight="1" s="78"/>
    <row r="654" ht="15.75" customHeight="1" s="78"/>
    <row r="655" ht="15.75" customHeight="1" s="78"/>
    <row r="656" ht="15.75" customHeight="1" s="78"/>
    <row r="657" ht="15.75" customHeight="1" s="78"/>
    <row r="658" ht="15.75" customHeight="1" s="78"/>
    <row r="659" ht="15.75" customHeight="1" s="78"/>
    <row r="660" ht="15.75" customHeight="1" s="78"/>
    <row r="661" ht="15.75" customHeight="1" s="78"/>
    <row r="662" ht="15.75" customHeight="1" s="78"/>
    <row r="663" ht="15.75" customHeight="1" s="78"/>
    <row r="664" ht="15.75" customHeight="1" s="78"/>
    <row r="665" ht="15.75" customHeight="1" s="78"/>
    <row r="666" ht="15.75" customHeight="1" s="78"/>
    <row r="667" ht="15.75" customHeight="1" s="78"/>
    <row r="668" ht="15.75" customHeight="1" s="78"/>
    <row r="669" ht="15.75" customHeight="1" s="78"/>
    <row r="670" ht="15.75" customHeight="1" s="78"/>
    <row r="671" ht="15.75" customHeight="1" s="78"/>
    <row r="672" ht="15.75" customHeight="1" s="78"/>
    <row r="673" ht="15.75" customHeight="1" s="78"/>
    <row r="674" ht="15.75" customHeight="1" s="78"/>
    <row r="675" ht="15.75" customHeight="1" s="78"/>
    <row r="676" ht="15.75" customHeight="1" s="78"/>
    <row r="677" ht="15.75" customHeight="1" s="78"/>
    <row r="678" ht="15.75" customHeight="1" s="78"/>
    <row r="679" ht="15.75" customHeight="1" s="78"/>
    <row r="680" ht="15.75" customHeight="1" s="78"/>
    <row r="681" ht="15.75" customHeight="1" s="78"/>
    <row r="682" ht="15.75" customHeight="1" s="78"/>
    <row r="683" ht="15.75" customHeight="1" s="78"/>
    <row r="684" ht="15.75" customHeight="1" s="78"/>
    <row r="685" ht="15.75" customHeight="1" s="78"/>
    <row r="686" ht="15.75" customHeight="1" s="78"/>
    <row r="687" ht="15.75" customHeight="1" s="78"/>
    <row r="688" ht="15.75" customHeight="1" s="78"/>
    <row r="689" ht="15.75" customHeight="1" s="78"/>
    <row r="690" ht="15.75" customHeight="1" s="78"/>
    <row r="691" ht="15.75" customHeight="1" s="78"/>
    <row r="692" ht="15.75" customHeight="1" s="78"/>
    <row r="693" ht="15.75" customHeight="1" s="78"/>
    <row r="694" ht="15.75" customHeight="1" s="78"/>
    <row r="695" ht="15.75" customHeight="1" s="78"/>
    <row r="696" ht="15.75" customHeight="1" s="78"/>
    <row r="697" ht="15.75" customHeight="1" s="78"/>
    <row r="698" ht="15.75" customHeight="1" s="78"/>
    <row r="699" ht="15.75" customHeight="1" s="78"/>
    <row r="700" ht="15.75" customHeight="1" s="78"/>
    <row r="701" ht="15.75" customHeight="1" s="78"/>
    <row r="702" ht="15.75" customHeight="1" s="78"/>
    <row r="703" ht="15.75" customHeight="1" s="78"/>
    <row r="704" ht="15.75" customHeight="1" s="78"/>
    <row r="705" ht="15.75" customHeight="1" s="78"/>
    <row r="706" ht="15.75" customHeight="1" s="78"/>
    <row r="707" ht="15.75" customHeight="1" s="78"/>
    <row r="708" ht="15.75" customHeight="1" s="78"/>
    <row r="709" ht="15.75" customHeight="1" s="78"/>
    <row r="710" ht="15.75" customHeight="1" s="78"/>
    <row r="711" ht="15.75" customHeight="1" s="78"/>
    <row r="712" ht="15.75" customHeight="1" s="78"/>
    <row r="713" ht="15.75" customHeight="1" s="78"/>
    <row r="714" ht="15.75" customHeight="1" s="78"/>
    <row r="715" ht="15.75" customHeight="1" s="78"/>
    <row r="716" ht="15.75" customHeight="1" s="78"/>
    <row r="717" ht="15.75" customHeight="1" s="78"/>
    <row r="718" ht="15.75" customHeight="1" s="78"/>
    <row r="719" ht="15.75" customHeight="1" s="78"/>
    <row r="720" ht="15.75" customHeight="1" s="78"/>
    <row r="721" ht="15.75" customHeight="1" s="78"/>
    <row r="722" ht="15.75" customHeight="1" s="78"/>
    <row r="723" ht="15.75" customHeight="1" s="78"/>
    <row r="724" ht="15.75" customHeight="1" s="78"/>
    <row r="725" ht="15.75" customHeight="1" s="78"/>
    <row r="726" ht="15.75" customHeight="1" s="78"/>
    <row r="727" ht="15.75" customHeight="1" s="78"/>
    <row r="728" ht="15.75" customHeight="1" s="78"/>
    <row r="729" ht="15.75" customHeight="1" s="78"/>
    <row r="730" ht="15.75" customHeight="1" s="78"/>
    <row r="731" ht="15.75" customHeight="1" s="78"/>
    <row r="732" ht="15.75" customHeight="1" s="78"/>
    <row r="733" ht="15.75" customHeight="1" s="78"/>
    <row r="734" ht="15.75" customHeight="1" s="78"/>
    <row r="735" ht="15.75" customHeight="1" s="78"/>
    <row r="736" ht="15.75" customHeight="1" s="78"/>
    <row r="737" ht="15.75" customHeight="1" s="78"/>
    <row r="738" ht="15.75" customHeight="1" s="78"/>
    <row r="739" ht="15.75" customHeight="1" s="78"/>
    <row r="740" ht="15.75" customHeight="1" s="78"/>
    <row r="741" ht="15.75" customHeight="1" s="78"/>
    <row r="742" ht="15.75" customHeight="1" s="78"/>
    <row r="743" ht="15.75" customHeight="1" s="78"/>
    <row r="744" ht="15.75" customHeight="1" s="78"/>
    <row r="745" ht="15.75" customHeight="1" s="78"/>
    <row r="746" ht="15.75" customHeight="1" s="78"/>
    <row r="747" ht="15.75" customHeight="1" s="78"/>
    <row r="748" ht="15.75" customHeight="1" s="78"/>
    <row r="749" ht="15.75" customHeight="1" s="78"/>
    <row r="750" ht="15.75" customHeight="1" s="78"/>
    <row r="751" ht="15.75" customHeight="1" s="78"/>
    <row r="752" ht="15.75" customHeight="1" s="78"/>
    <row r="753" ht="15.75" customHeight="1" s="78"/>
    <row r="754" ht="15.75" customHeight="1" s="78"/>
    <row r="755" ht="15.75" customHeight="1" s="78"/>
    <row r="756" ht="15.75" customHeight="1" s="78"/>
    <row r="757" ht="15.75" customHeight="1" s="78"/>
    <row r="758" ht="15.75" customHeight="1" s="78"/>
    <row r="759" ht="15.75" customHeight="1" s="78"/>
    <row r="760" ht="15.75" customHeight="1" s="78"/>
    <row r="761" ht="15.75" customHeight="1" s="78"/>
    <row r="762" ht="15.75" customHeight="1" s="78"/>
    <row r="763" ht="15.75" customHeight="1" s="78"/>
    <row r="764" ht="15.75" customHeight="1" s="78"/>
    <row r="765" ht="15.75" customHeight="1" s="78"/>
    <row r="766" ht="15.75" customHeight="1" s="78"/>
    <row r="767" ht="15.75" customHeight="1" s="78"/>
    <row r="768" ht="15.75" customHeight="1" s="78"/>
    <row r="769" ht="15.75" customHeight="1" s="78"/>
    <row r="770" ht="15.75" customHeight="1" s="78"/>
    <row r="771" ht="15.75" customHeight="1" s="78"/>
    <row r="772" ht="15.75" customHeight="1" s="78"/>
    <row r="773" ht="15.75" customHeight="1" s="78"/>
    <row r="774" ht="15.75" customHeight="1" s="78"/>
    <row r="775" ht="15.75" customHeight="1" s="78"/>
    <row r="776" ht="15.75" customHeight="1" s="78"/>
    <row r="777" ht="15.75" customHeight="1" s="78"/>
    <row r="778" ht="15.75" customHeight="1" s="78"/>
    <row r="779" ht="15.75" customHeight="1" s="78"/>
    <row r="780" ht="15.75" customHeight="1" s="78"/>
    <row r="781" ht="15.75" customHeight="1" s="78"/>
    <row r="782" ht="15.75" customHeight="1" s="78"/>
    <row r="783" ht="15.75" customHeight="1" s="78"/>
    <row r="784" ht="15.75" customHeight="1" s="78"/>
    <row r="785" ht="15.75" customHeight="1" s="78"/>
    <row r="786" ht="15.75" customHeight="1" s="78"/>
    <row r="787" ht="15.75" customHeight="1" s="78"/>
    <row r="788" ht="15.75" customHeight="1" s="78"/>
    <row r="789" ht="15.75" customHeight="1" s="78"/>
    <row r="790" ht="15.75" customHeight="1" s="78"/>
    <row r="791" ht="15.75" customHeight="1" s="78"/>
    <row r="792" ht="15.75" customHeight="1" s="78"/>
    <row r="793" ht="15.75" customHeight="1" s="78"/>
    <row r="794" ht="15.75" customHeight="1" s="78"/>
    <row r="795" ht="15.75" customHeight="1" s="78"/>
    <row r="796" ht="15.75" customHeight="1" s="78"/>
    <row r="797" ht="15.75" customHeight="1" s="78"/>
    <row r="798" ht="15.75" customHeight="1" s="78"/>
    <row r="799" ht="15.75" customHeight="1" s="78"/>
    <row r="800" ht="15.75" customHeight="1" s="78"/>
    <row r="801" ht="15.75" customHeight="1" s="78"/>
    <row r="802" ht="15.75" customHeight="1" s="78"/>
    <row r="803" ht="15.75" customHeight="1" s="78"/>
    <row r="804" ht="15.75" customHeight="1" s="78"/>
    <row r="805" ht="15.75" customHeight="1" s="78"/>
    <row r="806" ht="15.75" customHeight="1" s="78"/>
    <row r="807" ht="15.75" customHeight="1" s="78"/>
    <row r="808" ht="15.75" customHeight="1" s="78"/>
    <row r="809" ht="15.75" customHeight="1" s="78"/>
    <row r="810" ht="15.75" customHeight="1" s="78"/>
    <row r="811" ht="15.75" customHeight="1" s="78"/>
    <row r="812" ht="15.75" customHeight="1" s="78"/>
    <row r="813" ht="15.75" customHeight="1" s="78"/>
    <row r="814" ht="15.75" customHeight="1" s="78"/>
    <row r="815" ht="15.75" customHeight="1" s="78"/>
    <row r="816" ht="15.75" customHeight="1" s="78"/>
    <row r="817" ht="15.75" customHeight="1" s="78"/>
    <row r="818" ht="15.75" customHeight="1" s="78"/>
    <row r="819" ht="15.75" customHeight="1" s="78"/>
    <row r="820" ht="15.75" customHeight="1" s="78"/>
    <row r="821" ht="15.75" customHeight="1" s="78"/>
    <row r="822" ht="15.75" customHeight="1" s="78"/>
    <row r="823" ht="15.75" customHeight="1" s="78"/>
    <row r="824" ht="15.75" customHeight="1" s="78"/>
    <row r="825" ht="15.75" customHeight="1" s="78"/>
    <row r="826" ht="15.75" customHeight="1" s="78"/>
    <row r="827" ht="15.75" customHeight="1" s="78"/>
    <row r="828" ht="15.75" customHeight="1" s="78"/>
    <row r="829" ht="15.75" customHeight="1" s="78"/>
    <row r="830" ht="15.75" customHeight="1" s="78"/>
    <row r="831" ht="15.75" customHeight="1" s="78"/>
    <row r="832" ht="15.75" customHeight="1" s="78"/>
    <row r="833" ht="15.75" customHeight="1" s="78"/>
    <row r="834" ht="15.75" customHeight="1" s="78"/>
    <row r="835" ht="15.75" customHeight="1" s="78"/>
    <row r="836" ht="15.75" customHeight="1" s="78"/>
    <row r="837" ht="15.75" customHeight="1" s="78"/>
    <row r="838" ht="15.75" customHeight="1" s="78"/>
    <row r="839" ht="15.75" customHeight="1" s="78"/>
    <row r="840" ht="15.75" customHeight="1" s="78"/>
    <row r="841" ht="15.75" customHeight="1" s="78"/>
    <row r="842" ht="15.75" customHeight="1" s="78"/>
    <row r="843" ht="15.75" customHeight="1" s="78"/>
    <row r="844" ht="15.75" customHeight="1" s="78"/>
    <row r="845" ht="15.75" customHeight="1" s="78"/>
    <row r="846" ht="15.75" customHeight="1" s="78"/>
    <row r="847" ht="15.75" customHeight="1" s="78"/>
    <row r="848" ht="15.75" customHeight="1" s="78"/>
    <row r="849" ht="15.75" customHeight="1" s="78"/>
    <row r="850" ht="15.75" customHeight="1" s="78"/>
    <row r="851" ht="15.75" customHeight="1" s="78"/>
    <row r="852" ht="15.75" customHeight="1" s="78"/>
    <row r="853" ht="15.75" customHeight="1" s="78"/>
    <row r="854" ht="15.75" customHeight="1" s="78"/>
    <row r="855" ht="15.75" customHeight="1" s="78"/>
    <row r="856" ht="15.75" customHeight="1" s="78"/>
    <row r="857" ht="15.75" customHeight="1" s="78"/>
    <row r="858" ht="15.75" customHeight="1" s="78"/>
    <row r="859" ht="15.75" customHeight="1" s="78"/>
    <row r="860" ht="15.75" customHeight="1" s="78"/>
    <row r="861" ht="15.75" customHeight="1" s="78"/>
    <row r="862" ht="15.75" customHeight="1" s="78"/>
    <row r="863" ht="15.75" customHeight="1" s="78"/>
    <row r="864" ht="15.75" customHeight="1" s="78"/>
    <row r="865" ht="15.75" customHeight="1" s="78"/>
    <row r="866" ht="15.75" customHeight="1" s="78"/>
    <row r="867" ht="15.75" customHeight="1" s="78"/>
    <row r="868" ht="15.75" customHeight="1" s="78"/>
    <row r="869" ht="15.75" customHeight="1" s="78"/>
    <row r="870" ht="15.75" customHeight="1" s="78"/>
    <row r="871" ht="15.75" customHeight="1" s="78"/>
    <row r="872" ht="15.75" customHeight="1" s="78"/>
    <row r="873" ht="15.75" customHeight="1" s="78"/>
    <row r="874" ht="15.75" customHeight="1" s="78"/>
    <row r="875" ht="15.75" customHeight="1" s="78"/>
    <row r="876" ht="15.75" customHeight="1" s="78"/>
    <row r="877" ht="15.75" customHeight="1" s="78"/>
    <row r="878" ht="15.75" customHeight="1" s="78"/>
    <row r="879" ht="15.75" customHeight="1" s="78"/>
    <row r="880" ht="15.75" customHeight="1" s="78"/>
    <row r="881" ht="15.75" customHeight="1" s="78"/>
    <row r="882" ht="15.75" customHeight="1" s="78"/>
    <row r="883" ht="15.75" customHeight="1" s="78"/>
    <row r="884" ht="15.75" customHeight="1" s="78"/>
    <row r="885" ht="15.75" customHeight="1" s="78"/>
    <row r="886" ht="15.75" customHeight="1" s="78"/>
    <row r="887" ht="15.75" customHeight="1" s="78"/>
    <row r="888" ht="15.75" customHeight="1" s="78"/>
    <row r="889" ht="15.75" customHeight="1" s="78"/>
    <row r="890" ht="15.75" customHeight="1" s="78"/>
    <row r="891" ht="15.75" customHeight="1" s="78"/>
    <row r="892" ht="15.75" customHeight="1" s="78"/>
    <row r="893" ht="15.75" customHeight="1" s="78"/>
    <row r="894" ht="15.75" customHeight="1" s="78"/>
    <row r="895" ht="15.75" customHeight="1" s="78"/>
    <row r="896" ht="15.75" customHeight="1" s="78"/>
    <row r="897" ht="15.75" customHeight="1" s="78"/>
    <row r="898" ht="15.75" customHeight="1" s="78"/>
    <row r="899" ht="15.75" customHeight="1" s="78"/>
    <row r="900" ht="15.75" customHeight="1" s="78"/>
    <row r="901" ht="15.75" customHeight="1" s="78"/>
    <row r="902" ht="15.75" customHeight="1" s="78"/>
    <row r="903" ht="15.75" customHeight="1" s="78"/>
    <row r="904" ht="15.75" customHeight="1" s="78"/>
    <row r="905" ht="15.75" customHeight="1" s="78"/>
    <row r="906" ht="15.75" customHeight="1" s="78"/>
    <row r="907" ht="15.75" customHeight="1" s="78"/>
    <row r="908" ht="15.75" customHeight="1" s="78"/>
    <row r="909" ht="15.75" customHeight="1" s="78"/>
    <row r="910" ht="15.75" customHeight="1" s="78"/>
    <row r="911" ht="15.75" customHeight="1" s="78"/>
    <row r="912" ht="15.75" customHeight="1" s="78"/>
    <row r="913" ht="15.75" customHeight="1" s="78"/>
    <row r="914" ht="15.75" customHeight="1" s="78"/>
    <row r="915" ht="15.75" customHeight="1" s="78"/>
    <row r="916" ht="15.75" customHeight="1" s="78"/>
    <row r="917" ht="15.75" customHeight="1" s="78"/>
    <row r="918" ht="15.75" customHeight="1" s="78"/>
    <row r="919" ht="15.75" customHeight="1" s="78"/>
    <row r="920" ht="15.75" customHeight="1" s="78"/>
    <row r="921" ht="15.75" customHeight="1" s="78"/>
    <row r="922" ht="15.75" customHeight="1" s="78"/>
    <row r="923" ht="15.75" customHeight="1" s="78"/>
    <row r="924" ht="15.75" customHeight="1" s="78"/>
    <row r="925" ht="15.75" customHeight="1" s="78"/>
    <row r="926" ht="15.75" customHeight="1" s="78"/>
    <row r="927" ht="15.75" customHeight="1" s="78"/>
    <row r="928" ht="15.75" customHeight="1" s="78"/>
    <row r="929" ht="15.75" customHeight="1" s="78"/>
    <row r="930" ht="15.75" customHeight="1" s="78"/>
    <row r="931" ht="15.75" customHeight="1" s="78"/>
    <row r="932" ht="15.75" customHeight="1" s="78"/>
    <row r="933" ht="15.75" customHeight="1" s="78"/>
    <row r="934" ht="15.75" customHeight="1" s="78"/>
    <row r="935" ht="15.75" customHeight="1" s="78"/>
    <row r="936" ht="15.75" customHeight="1" s="78"/>
    <row r="937" ht="15.75" customHeight="1" s="78"/>
    <row r="938" ht="15.75" customHeight="1" s="78"/>
    <row r="939" ht="15.75" customHeight="1" s="78"/>
    <row r="940" ht="15.75" customHeight="1" s="78"/>
    <row r="941" ht="15.75" customHeight="1" s="78"/>
    <row r="942" ht="15.75" customHeight="1" s="78"/>
    <row r="943" ht="15.75" customHeight="1" s="78"/>
    <row r="944" ht="15.75" customHeight="1" s="78"/>
    <row r="945" ht="15.75" customHeight="1" s="78"/>
    <row r="946" ht="15.75" customHeight="1" s="78"/>
    <row r="947" ht="15.75" customHeight="1" s="78"/>
    <row r="948" ht="15.75" customHeight="1" s="78"/>
    <row r="949" ht="15.75" customHeight="1" s="78"/>
    <row r="950" ht="15.75" customHeight="1" s="78"/>
    <row r="951" ht="15.75" customHeight="1" s="78"/>
    <row r="952" ht="15.75" customHeight="1" s="78"/>
    <row r="953" ht="15.75" customHeight="1" s="78"/>
    <row r="954" ht="15.75" customHeight="1" s="78"/>
    <row r="955" ht="15.75" customHeight="1" s="78"/>
    <row r="956" ht="15.75" customHeight="1" s="78"/>
    <row r="957" ht="15.75" customHeight="1" s="78"/>
    <row r="958" ht="15.75" customHeight="1" s="78"/>
    <row r="959" ht="15.75" customHeight="1" s="78"/>
    <row r="960" ht="15.75" customHeight="1" s="78"/>
    <row r="961" ht="15.75" customHeight="1" s="78"/>
    <row r="962" ht="15.75" customHeight="1" s="78"/>
    <row r="963" ht="15.75" customHeight="1" s="78"/>
    <row r="964" ht="15.75" customHeight="1" s="78"/>
    <row r="965" ht="15.75" customHeight="1" s="78"/>
    <row r="966" ht="15.75" customHeight="1" s="78"/>
    <row r="967" ht="15.75" customHeight="1" s="78"/>
    <row r="968" ht="15.75" customHeight="1" s="78"/>
    <row r="969" ht="15.75" customHeight="1" s="78"/>
    <row r="970" ht="15.75" customHeight="1" s="78"/>
    <row r="971" ht="15.75" customHeight="1" s="78"/>
    <row r="972" ht="15.75" customHeight="1" s="78"/>
    <row r="973" ht="15.75" customHeight="1" s="78"/>
    <row r="974" ht="15.75" customHeight="1" s="78"/>
    <row r="975" ht="15.75" customHeight="1" s="78"/>
    <row r="976" ht="15.75" customHeight="1" s="78"/>
    <row r="977" ht="15.75" customHeight="1" s="78"/>
    <row r="978" ht="15.75" customHeight="1" s="78"/>
    <row r="979" ht="15.75" customHeight="1" s="78"/>
    <row r="980" ht="15.75" customHeight="1" s="78"/>
    <row r="981" ht="15.75" customHeight="1" s="78"/>
    <row r="982" ht="15.75" customHeight="1" s="78"/>
    <row r="983" ht="15.75" customHeight="1" s="78"/>
    <row r="984" ht="15.75" customHeight="1" s="78"/>
    <row r="985" ht="15.75" customHeight="1" s="78"/>
    <row r="986" ht="15.75" customHeight="1" s="78"/>
    <row r="987" ht="15.75" customHeight="1" s="78"/>
    <row r="988" ht="15.75" customHeight="1" s="78"/>
    <row r="989" ht="15.75" customHeight="1" s="78"/>
    <row r="990" ht="15.75" customHeight="1" s="78"/>
    <row r="991" ht="15.75" customHeight="1" s="78"/>
    <row r="992" ht="15.75" customHeight="1" s="78"/>
    <row r="993" ht="15.75" customHeight="1" s="78"/>
    <row r="994" ht="15.75" customHeight="1" s="78"/>
    <row r="995" ht="15.75" customHeight="1" s="78"/>
    <row r="996" ht="15.75" customHeight="1" s="78"/>
    <row r="997" ht="15.75" customHeight="1" s="78"/>
    <row r="998" ht="15.75" customHeight="1" s="78"/>
    <row r="999" ht="15.75" customHeight="1" s="78"/>
    <row r="1000" ht="15.75" customHeight="1" s="78"/>
  </sheetData>
  <pageMargins left="0.75" right="0.75" top="1" bottom="1" header="0" footer="0"/>
  <pageSetup orientation="landscape" fitToHeight="0"/>
</worksheet>
</file>

<file path=xl/worksheets/sheet2.xml><?xml version="1.0" encoding="utf-8"?>
<worksheet xmlns="http://schemas.openxmlformats.org/spreadsheetml/2006/main">
  <sheetPr>
    <outlinePr summaryBelow="1" summaryRight="1"/>
    <pageSetUpPr fitToPage="1"/>
  </sheetPr>
  <dimension ref="A1:I11"/>
  <sheetViews>
    <sheetView showGridLines="0" workbookViewId="0">
      <pane ySplit="4" topLeftCell="A5" activePane="bottomLeft" state="frozen"/>
      <selection pane="bottomLeft" activeCell="B6" sqref="B6"/>
    </sheetView>
  </sheetViews>
  <sheetFormatPr baseColWidth="8" defaultColWidth="14.43" defaultRowHeight="15" customHeight="1"/>
  <cols>
    <col width="105" customWidth="1" style="78" min="1" max="1"/>
    <col width="14" customWidth="1" style="78" min="2" max="2"/>
    <col width="30.43" customWidth="1" style="78" min="3" max="3"/>
    <col width="28.29" customWidth="1" style="78" min="4" max="4"/>
    <col width="37.29" customWidth="1" style="78" min="5" max="5"/>
    <col width="30.57" customWidth="1" style="78" min="6" max="6"/>
    <col width="16" customWidth="1" style="78" min="7" max="7"/>
    <col width="34" customWidth="1" style="78" min="8" max="8"/>
    <col width="40" customWidth="1" style="78" min="9" max="9"/>
    <col width="8.710000000000001" customWidth="1" style="78" min="10" max="26"/>
  </cols>
  <sheetData>
    <row r="1">
      <c r="A1" s="3" t="inlineStr">
        <is>
          <t>Cross-App Accessibility Comparison — Digital Financial Inclusion for Blind Users</t>
        </is>
      </c>
    </row>
    <row r="2">
      <c r="A2" s="7" t="inlineStr">
        <is>
          <t>Each row pulls its numbers live from that app's own scorecard tab. Add a row and duplicate 'App Template' to score another app.</t>
        </is>
      </c>
    </row>
    <row r="4" ht="33.75" customHeight="1" s="78">
      <c r="A4" s="8" t="inlineStr">
        <is>
          <t>App / Bank</t>
        </is>
      </c>
      <c r="B4" s="8" t="inlineStr">
        <is>
          <t>WCAG Score
(0-100)</t>
        </is>
      </c>
      <c r="C4" s="8" t="inlineStr">
        <is>
          <t>Rating band</t>
        </is>
      </c>
      <c r="D4" s="8" t="inlineStr">
        <is>
          <t>WCAG Level A
conformance</t>
        </is>
      </c>
      <c r="E4" s="8" t="inlineStr">
        <is>
          <t>WCAG Level AA
conformance</t>
        </is>
      </c>
      <c r="F4" s="8" t="inlineStr">
        <is>
          <t>Transaction
Accessibility Score</t>
        </is>
      </c>
      <c r="G4" s="8" t="inlineStr">
        <is>
          <t>Criteria
Failed (WCAG)</t>
        </is>
      </c>
      <c r="H4" s="8" t="inlineStr">
        <is>
          <t>Needs manual
audit (WCAG + txn)</t>
        </is>
      </c>
      <c r="I4" s="8" t="inlineStr">
        <is>
          <t>Notes</t>
        </is>
      </c>
    </row>
    <row r="5" s="78">
      <c r="A5" s="79" t="inlineStr">
        <is>
          <t>BK Mobile (Bank of Kigali, Rwanda)</t>
        </is>
      </c>
      <c r="B5" s="85">
        <f>'BK Mobile'!$E$44</f>
        <v/>
      </c>
      <c r="C5" s="86">
        <f>'BK Mobile'!$E$49</f>
        <v/>
      </c>
      <c r="D5" s="87">
        <f>'BK Mobile'!$E$45</f>
        <v/>
      </c>
      <c r="E5" s="87">
        <f>'BK Mobile'!$E$46</f>
        <v/>
      </c>
      <c r="F5" s="88">
        <f>'BK Mobile - Transactions'!$D$21</f>
        <v/>
      </c>
      <c r="G5" s="86">
        <f>'BK Mobile'!$E$47</f>
        <v/>
      </c>
      <c r="H5" s="86">
        <f>'BK Mobile'!$E$48+'BK Mobile - Transactions'!$D$22</f>
        <v/>
      </c>
      <c r="I5" s="89" t="inlineStr">
        <is>
          <t>Scored from 2 Google Accessibility Scanner sessions, 50 screens, 17 Sep 2026. See 'BK Mobile' and 'BK Mobile - Transactions' tabs for evidence.</t>
        </is>
      </c>
    </row>
    <row r="6" s="78">
      <c r="A6" s="79" t="inlineStr">
        <is>
          <t>Equity Mobile (Equity Bank, Rwanda)</t>
        </is>
      </c>
      <c r="B6" s="80">
        <f>'Equity Mobile RW'!$E$44</f>
        <v/>
      </c>
      <c r="C6" s="81">
        <f>'Equity Mobile RW'!$E$49</f>
        <v/>
      </c>
      <c r="D6" s="82">
        <f>'Equity Mobile RW'!$E$45</f>
        <v/>
      </c>
      <c r="E6" s="82">
        <f>'Equity Mobile RW'!$E$46</f>
        <v/>
      </c>
      <c r="F6" s="83">
        <f>'Equity Mobile RW - Transactions'!$D$21</f>
        <v/>
      </c>
      <c r="G6" s="81">
        <f>'Equity Mobile RW'!$E$47</f>
        <v/>
      </c>
      <c r="H6" s="81">
        <f>'Equity Mobile RW'!$E$48+'Equity Mobile RW - Transactions'!$D$22</f>
        <v/>
      </c>
      <c r="I6" s="84" t="inlineStr">
        <is>
          <t>Scored from 1 Google Accessibility Scanner session, 24 screens, 25 Sep 2026 (login, home, accounts, Transact hub, own-account / other-bank / e-Kash / airtime forms). No confirm or success screen was captured, so 3.3.4 and T1 are untested. Dark theme throughout.</t>
        </is>
      </c>
    </row>
    <row r="7" s="78">
      <c r="A7" s="79" t="inlineStr">
        <is>
          <t>Fidelity Mobile (Fidelity Bank, Nigeria)</t>
        </is>
      </c>
      <c r="B7" s="85">
        <f>'Fidelity NG'!$E$44</f>
        <v/>
      </c>
      <c r="C7" s="86">
        <f>'Fidelity NG'!$E$49</f>
        <v/>
      </c>
      <c r="D7" s="87">
        <f>'Fidelity NG'!$E$45</f>
        <v/>
      </c>
      <c r="E7" s="87">
        <f>'Fidelity NG'!$E$46</f>
        <v/>
      </c>
      <c r="F7" s="88">
        <f>'Fidelity NG - Transactions'!$D$21</f>
        <v/>
      </c>
      <c r="G7" s="86">
        <f>'Fidelity NG'!$E$47</f>
        <v/>
      </c>
      <c r="H7" s="86">
        <f>'Fidelity NG'!$E$48+'Fidelity NG - Transactions'!$D$22</f>
        <v/>
      </c>
      <c r="I7" s="89" t="inlineStr">
        <is>
          <t>Scored from 1 Google Accessibility Scanner session, 40 screens, 25 Sep 2026. The app is a hybrid WebView: every finding is 'web content', and the scanner returned 0 label findings even though icon-only controls are visible. 1.1.1, 2.4.4, 2.5.3 and 4.1.2 are therefore Not Tested, which inflates this score relative to native apps. Needs a manual TalkBack audit before comparing.</t>
        </is>
      </c>
    </row>
    <row r="8" s="78">
      <c r="A8" s="79" t="inlineStr">
        <is>
          <t>GTWorld (Guaranty Trust Bank, Nigeria)</t>
        </is>
      </c>
      <c r="B8" s="80">
        <f>'GTWorld NG'!$E$44</f>
        <v/>
      </c>
      <c r="C8" s="81">
        <f>'GTWorld NG'!$E$49</f>
        <v/>
      </c>
      <c r="D8" s="82">
        <f>'GTWorld NG'!$E$45</f>
        <v/>
      </c>
      <c r="E8" s="82">
        <f>'GTWorld NG'!$E$46</f>
        <v/>
      </c>
      <c r="F8" s="83">
        <f>'GTWorld NG - Transactions'!$D$21</f>
        <v/>
      </c>
      <c r="G8" s="81">
        <f>'GTWorld NG'!$E$47</f>
        <v/>
      </c>
      <c r="H8" s="81">
        <f>'GTWorld NG'!$E$48+'GTWorld NG - Transactions'!$D$22</f>
        <v/>
      </c>
      <c r="I8" s="84" t="inlineStr">
        <is>
          <t>Scored from 3 Google Accessibility Scanner sessions, 33 screens, 25 Sep 2026 (home, beneficiary search, transfer form, airtime purchase to success, transaction history, filters). No login screen was captured, so 3.3.7, 3.3.8 and T7 are untested. Dark theme throughout.</t>
        </is>
      </c>
    </row>
    <row r="9" s="78">
      <c r="A9" s="79" t="inlineStr">
        <is>
          <t>AccessMore (Access Bank, Nigeria)</t>
        </is>
      </c>
      <c r="B9" s="85">
        <f>'AccessMore NG'!$E$44</f>
        <v/>
      </c>
      <c r="C9" s="86">
        <f>'AccessMore NG'!$E$49</f>
        <v/>
      </c>
      <c r="D9" s="87">
        <f>'AccessMore NG'!$E$45</f>
        <v/>
      </c>
      <c r="E9" s="87">
        <f>'AccessMore NG'!$E$46</f>
        <v/>
      </c>
      <c r="F9" s="88">
        <f>'AccessMore NG - Transactions'!$D$21</f>
        <v/>
      </c>
      <c r="G9" s="86">
        <f>'AccessMore NG'!$E$47</f>
        <v/>
      </c>
      <c r="H9" s="86">
        <f>'AccessMore NG'!$E$48+'AccessMore NG - Transactions'!$D$22</f>
        <v/>
      </c>
      <c r="I9" s="89" t="inlineStr">
        <is>
          <t>Scored from 2 Google Accessibility Scanner sessions, 21 screens, 25 Sep 2026 (home, Access / other-bank transfer, success, history, support, menu, cards, profile). The app auto-logged in, so no login screen was captured; biometric login was confirmed from Settings. Debit Cards never finished loading (S2-14 to 16).</t>
        </is>
      </c>
    </row>
    <row r="10" s="78">
      <c r="A10" s="79" t="n"/>
      <c r="B10" s="80" t="n"/>
      <c r="C10" s="81" t="n"/>
      <c r="D10" s="82" t="n"/>
      <c r="E10" s="82" t="n"/>
      <c r="F10" s="83" t="n"/>
      <c r="G10" s="81" t="n"/>
      <c r="H10" s="81" t="n"/>
      <c r="I10" s="84" t="n"/>
    </row>
    <row r="11">
      <c r="A11" s="90" t="inlineStr">
        <is>
          <t>Comparability caveat: scores reflect only the screens each scan captured, and differ in coverage (e.g. no login screen for GTWorld / AccessMore; no confirm step for Equity / Fidelity). Fidelity's WebView defeated automated label checks, so its WCAG score excludes 1.1.1 / 2.4.4 / 2.5.3 / 4.1.2 and is not directly comparable until manually audited.</t>
        </is>
      </c>
    </row>
    <row r="21" ht="15.75" customHeight="1" s="78"/>
    <row r="22" ht="15.75" customHeight="1" s="78"/>
    <row r="23" ht="15.75" customHeight="1" s="78"/>
    <row r="24" ht="15.75" customHeight="1" s="78"/>
    <row r="25" ht="15.75" customHeight="1" s="78"/>
    <row r="26" ht="15.75" customHeight="1" s="78"/>
    <row r="27" ht="15.75" customHeight="1" s="78"/>
    <row r="28" ht="15.75" customHeight="1" s="78"/>
    <row r="29" ht="15.75" customHeight="1" s="78"/>
    <row r="30" ht="15.75" customHeight="1" s="78"/>
    <row r="31" ht="15.75" customHeight="1" s="78"/>
    <row r="32" ht="15.75" customHeight="1" s="78"/>
    <row r="33" ht="15.75" customHeight="1" s="78"/>
    <row r="34" ht="15.75" customHeight="1" s="78"/>
    <row r="35" ht="15.75" customHeight="1" s="78"/>
    <row r="36" ht="15.75" customHeight="1" s="78"/>
    <row r="37" ht="15.75" customHeight="1" s="78"/>
    <row r="38" ht="15.75" customHeight="1" s="78"/>
    <row r="39" ht="15.75" customHeight="1" s="78"/>
    <row r="40" ht="15.75" customHeight="1" s="78"/>
    <row r="41" ht="15.75" customHeight="1" s="78"/>
    <row r="42" ht="15.75" customHeight="1" s="78"/>
    <row r="43" ht="15.75" customHeight="1" s="78"/>
    <row r="44" ht="15.75" customHeight="1" s="78"/>
    <row r="45" ht="15.75" customHeight="1" s="78"/>
    <row r="46" ht="15.75" customHeight="1" s="78"/>
    <row r="47" ht="15.75" customHeight="1" s="78"/>
    <row r="48" ht="15.75" customHeight="1" s="78"/>
    <row r="49" ht="15.75" customHeight="1" s="78"/>
    <row r="50" ht="15.75" customHeight="1" s="78"/>
    <row r="51" ht="15.75" customHeight="1" s="78"/>
    <row r="52" ht="15.75" customHeight="1" s="78"/>
    <row r="53" ht="15.75" customHeight="1" s="78"/>
    <row r="54" ht="15.75" customHeight="1" s="78"/>
    <row r="55" ht="15.75" customHeight="1" s="78"/>
    <row r="56" ht="15.75" customHeight="1" s="78"/>
    <row r="57" ht="15.75" customHeight="1" s="78"/>
    <row r="58" ht="15.75" customHeight="1" s="78"/>
    <row r="59" ht="15.75" customHeight="1" s="78"/>
    <row r="60" ht="15.75" customHeight="1" s="78"/>
    <row r="61" ht="15.75" customHeight="1" s="78"/>
    <row r="62" ht="15.75" customHeight="1" s="78"/>
    <row r="63" ht="15.75" customHeight="1" s="78"/>
    <row r="64" ht="15.75" customHeight="1" s="78"/>
    <row r="65" ht="15.75" customHeight="1" s="78"/>
    <row r="66" ht="15.75" customHeight="1" s="78"/>
    <row r="67" ht="15.75" customHeight="1" s="78"/>
    <row r="68" ht="15.75" customHeight="1" s="78"/>
    <row r="69" ht="15.75" customHeight="1" s="78"/>
    <row r="70" ht="15.75" customHeight="1" s="78"/>
    <row r="71" ht="15.75" customHeight="1" s="78"/>
    <row r="72" ht="15.75" customHeight="1" s="78"/>
    <row r="73" ht="15.75" customHeight="1" s="78"/>
    <row r="74" ht="15.75" customHeight="1" s="78"/>
    <row r="75" ht="15.75" customHeight="1" s="78"/>
    <row r="76" ht="15.75" customHeight="1" s="78"/>
    <row r="77" ht="15.75" customHeight="1" s="78"/>
    <row r="78" ht="15.75" customHeight="1" s="78"/>
    <row r="79" ht="15.75" customHeight="1" s="78"/>
    <row r="80" ht="15.75" customHeight="1" s="78"/>
    <row r="81" ht="15.75" customHeight="1" s="78"/>
    <row r="82" ht="15.75" customHeight="1" s="78"/>
    <row r="83" ht="15.75" customHeight="1" s="78"/>
    <row r="84" ht="15.75" customHeight="1" s="78"/>
    <row r="85" ht="15.75" customHeight="1" s="78"/>
    <row r="86" ht="15.75" customHeight="1" s="78"/>
    <row r="87" ht="15.75" customHeight="1" s="78"/>
    <row r="88" ht="15.75" customHeight="1" s="78"/>
    <row r="89" ht="15.75" customHeight="1" s="78"/>
    <row r="90" ht="15.75" customHeight="1" s="78"/>
    <row r="91" ht="15.75" customHeight="1" s="78"/>
    <row r="92" ht="15.75" customHeight="1" s="78"/>
    <row r="93" ht="15.75" customHeight="1" s="78"/>
    <row r="94" ht="15.75" customHeight="1" s="78"/>
    <row r="95" ht="15.75" customHeight="1" s="78"/>
    <row r="96" ht="15.75" customHeight="1" s="78"/>
    <row r="97" ht="15.75" customHeight="1" s="78"/>
    <row r="98" ht="15.75" customHeight="1" s="78"/>
    <row r="99" ht="15.75" customHeight="1" s="78"/>
    <row r="100" ht="15.75" customHeight="1" s="78"/>
    <row r="101" ht="15.75" customHeight="1" s="78"/>
    <row r="102" ht="15.75" customHeight="1" s="78"/>
    <row r="103" ht="15.75" customHeight="1" s="78"/>
    <row r="104" ht="15.75" customHeight="1" s="78"/>
    <row r="105" ht="15.75" customHeight="1" s="78"/>
    <row r="106" ht="15.75" customHeight="1" s="78"/>
    <row r="107" ht="15.75" customHeight="1" s="78"/>
    <row r="108" ht="15.75" customHeight="1" s="78"/>
    <row r="109" ht="15.75" customHeight="1" s="78"/>
    <row r="110" ht="15.75" customHeight="1" s="78"/>
    <row r="111" ht="15.75" customHeight="1" s="78"/>
    <row r="112" ht="15.75" customHeight="1" s="78"/>
    <row r="113" ht="15.75" customHeight="1" s="78"/>
    <row r="114" ht="15.75" customHeight="1" s="78"/>
    <row r="115" ht="15.75" customHeight="1" s="78"/>
    <row r="116" ht="15.75" customHeight="1" s="78"/>
    <row r="117" ht="15.75" customHeight="1" s="78"/>
    <row r="118" ht="15.75" customHeight="1" s="78"/>
    <row r="119" ht="15.75" customHeight="1" s="78"/>
    <row r="120" ht="15.75" customHeight="1" s="78"/>
    <row r="121" ht="15.75" customHeight="1" s="78"/>
    <row r="122" ht="15.75" customHeight="1" s="78"/>
    <row r="123" ht="15.75" customHeight="1" s="78"/>
    <row r="124" ht="15.75" customHeight="1" s="78"/>
    <row r="125" ht="15.75" customHeight="1" s="78"/>
    <row r="126" ht="15.75" customHeight="1" s="78"/>
    <row r="127" ht="15.75" customHeight="1" s="78"/>
    <row r="128" ht="15.75" customHeight="1" s="78"/>
    <row r="129" ht="15.75" customHeight="1" s="78"/>
    <row r="130" ht="15.75" customHeight="1" s="78"/>
    <row r="131" ht="15.75" customHeight="1" s="78"/>
    <row r="132" ht="15.75" customHeight="1" s="78"/>
    <row r="133" ht="15.75" customHeight="1" s="78"/>
    <row r="134" ht="15.75" customHeight="1" s="78"/>
    <row r="135" ht="15.75" customHeight="1" s="78"/>
    <row r="136" ht="15.75" customHeight="1" s="78"/>
    <row r="137" ht="15.75" customHeight="1" s="78"/>
    <row r="138" ht="15.75" customHeight="1" s="78"/>
    <row r="139" ht="15.75" customHeight="1" s="78"/>
    <row r="140" ht="15.75" customHeight="1" s="78"/>
    <row r="141" ht="15.75" customHeight="1" s="78"/>
    <row r="142" ht="15.75" customHeight="1" s="78"/>
    <row r="143" ht="15.75" customHeight="1" s="78"/>
    <row r="144" ht="15.75" customHeight="1" s="78"/>
    <row r="145" ht="15.75" customHeight="1" s="78"/>
    <row r="146" ht="15.75" customHeight="1" s="78"/>
    <row r="147" ht="15.75" customHeight="1" s="78"/>
    <row r="148" ht="15.75" customHeight="1" s="78"/>
    <row r="149" ht="15.75" customHeight="1" s="78"/>
    <row r="150" ht="15.75" customHeight="1" s="78"/>
    <row r="151" ht="15.75" customHeight="1" s="78"/>
    <row r="152" ht="15.75" customHeight="1" s="78"/>
    <row r="153" ht="15.75" customHeight="1" s="78"/>
    <row r="154" ht="15.75" customHeight="1" s="78"/>
    <row r="155" ht="15.75" customHeight="1" s="78"/>
    <row r="156" ht="15.75" customHeight="1" s="78"/>
    <row r="157" ht="15.75" customHeight="1" s="78"/>
    <row r="158" ht="15.75" customHeight="1" s="78"/>
    <row r="159" ht="15.75" customHeight="1" s="78"/>
    <row r="160" ht="15.75" customHeight="1" s="78"/>
    <row r="161" ht="15.75" customHeight="1" s="78"/>
    <row r="162" ht="15.75" customHeight="1" s="78"/>
    <row r="163" ht="15.75" customHeight="1" s="78"/>
    <row r="164" ht="15.75" customHeight="1" s="78"/>
    <row r="165" ht="15.75" customHeight="1" s="78"/>
    <row r="166" ht="15.75" customHeight="1" s="78"/>
    <row r="167" ht="15.75" customHeight="1" s="78"/>
    <row r="168" ht="15.75" customHeight="1" s="78"/>
    <row r="169" ht="15.75" customHeight="1" s="78"/>
    <row r="170" ht="15.75" customHeight="1" s="78"/>
    <row r="171" ht="15.75" customHeight="1" s="78"/>
    <row r="172" ht="15.75" customHeight="1" s="78"/>
    <row r="173" ht="15.75" customHeight="1" s="78"/>
    <row r="174" ht="15.75" customHeight="1" s="78"/>
    <row r="175" ht="15.75" customHeight="1" s="78"/>
    <row r="176" ht="15.75" customHeight="1" s="78"/>
    <row r="177" ht="15.75" customHeight="1" s="78"/>
    <row r="178" ht="15.75" customHeight="1" s="78"/>
    <row r="179" ht="15.75" customHeight="1" s="78"/>
    <row r="180" ht="15.75" customHeight="1" s="78"/>
    <row r="181" ht="15.75" customHeight="1" s="78"/>
    <row r="182" ht="15.75" customHeight="1" s="78"/>
    <row r="183" ht="15.75" customHeight="1" s="78"/>
    <row r="184" ht="15.75" customHeight="1" s="78"/>
    <row r="185" ht="15.75" customHeight="1" s="78"/>
    <row r="186" ht="15.75" customHeight="1" s="78"/>
    <row r="187" ht="15.75" customHeight="1" s="78"/>
    <row r="188" ht="15.75" customHeight="1" s="78"/>
    <row r="189" ht="15.75" customHeight="1" s="78"/>
    <row r="190" ht="15.75" customHeight="1" s="78"/>
    <row r="191" ht="15.75" customHeight="1" s="78"/>
    <row r="192" ht="15.75" customHeight="1" s="78"/>
    <row r="193" ht="15.75" customHeight="1" s="78"/>
    <row r="194" ht="15.75" customHeight="1" s="78"/>
    <row r="195" ht="15.75" customHeight="1" s="78"/>
    <row r="196" ht="15.75" customHeight="1" s="78"/>
    <row r="197" ht="15.75" customHeight="1" s="78"/>
    <row r="198" ht="15.75" customHeight="1" s="78"/>
    <row r="199" ht="15.75" customHeight="1" s="78"/>
    <row r="200" ht="15.75" customHeight="1" s="78"/>
    <row r="201" ht="15.75" customHeight="1" s="78"/>
    <row r="202" ht="15.75" customHeight="1" s="78"/>
    <row r="203" ht="15.75" customHeight="1" s="78"/>
    <row r="204" ht="15.75" customHeight="1" s="78"/>
    <row r="205" ht="15.75" customHeight="1" s="78"/>
    <row r="206" ht="15.75" customHeight="1" s="78"/>
    <row r="207" ht="15.75" customHeight="1" s="78"/>
    <row r="208" ht="15.75" customHeight="1" s="78"/>
    <row r="209" ht="15.75" customHeight="1" s="78"/>
    <row r="210" ht="15.75" customHeight="1" s="78"/>
    <row r="211" ht="15.75" customHeight="1" s="78"/>
    <row r="212" ht="15.75" customHeight="1" s="78"/>
    <row r="213" ht="15.75" customHeight="1" s="78"/>
    <row r="214" ht="15.75" customHeight="1" s="78"/>
    <row r="215" ht="15.75" customHeight="1" s="78"/>
    <row r="216" ht="15.75" customHeight="1" s="78"/>
    <row r="217" ht="15.75" customHeight="1" s="78"/>
    <row r="218" ht="15.75" customHeight="1" s="78"/>
    <row r="219" ht="15.75" customHeight="1" s="78"/>
    <row r="220" ht="15.75" customHeight="1" s="78"/>
    <row r="221" ht="15.75" customHeight="1" s="78"/>
    <row r="222" ht="15.75" customHeight="1" s="78"/>
    <row r="223" ht="15.75" customHeight="1" s="78"/>
    <row r="224" ht="15.75" customHeight="1" s="78"/>
    <row r="225" ht="15.75" customHeight="1" s="78"/>
    <row r="226" ht="15.75" customHeight="1" s="78"/>
    <row r="227" ht="15.75" customHeight="1" s="78"/>
    <row r="228" ht="15.75" customHeight="1" s="78"/>
    <row r="229" ht="15.75" customHeight="1" s="78"/>
    <row r="230" ht="15.75" customHeight="1" s="78"/>
    <row r="231" ht="15.75" customHeight="1" s="78"/>
    <row r="232" ht="15.75" customHeight="1" s="78"/>
    <row r="233" ht="15.75" customHeight="1" s="78"/>
    <row r="234" ht="15.75" customHeight="1" s="78"/>
    <row r="235" ht="15.75" customHeight="1" s="78"/>
    <row r="236" ht="15.75" customHeight="1" s="78"/>
    <row r="237" ht="15.75" customHeight="1" s="78"/>
    <row r="238" ht="15.75" customHeight="1" s="78"/>
    <row r="239" ht="15.75" customHeight="1" s="78"/>
    <row r="240" ht="15.75" customHeight="1" s="78"/>
    <row r="241" ht="15.75" customHeight="1" s="78"/>
    <row r="242" ht="15.75" customHeight="1" s="78"/>
    <row r="243" ht="15.75" customHeight="1" s="78"/>
    <row r="244" ht="15.75" customHeight="1" s="78"/>
    <row r="245" ht="15.75" customHeight="1" s="78"/>
    <row r="246" ht="15.75" customHeight="1" s="78"/>
    <row r="247" ht="15.75" customHeight="1" s="78"/>
    <row r="248" ht="15.75" customHeight="1" s="78"/>
    <row r="249" ht="15.75" customHeight="1" s="78"/>
    <row r="250" ht="15.75" customHeight="1" s="78"/>
    <row r="251" ht="15.75" customHeight="1" s="78"/>
    <row r="252" ht="15.75" customHeight="1" s="78"/>
    <row r="253" ht="15.75" customHeight="1" s="78"/>
    <row r="254" ht="15.75" customHeight="1" s="78"/>
    <row r="255" ht="15.75" customHeight="1" s="78"/>
    <row r="256" ht="15.75" customHeight="1" s="78"/>
    <row r="257" ht="15.75" customHeight="1" s="78"/>
    <row r="258" ht="15.75" customHeight="1" s="78"/>
    <row r="259" ht="15.75" customHeight="1" s="78"/>
    <row r="260" ht="15.75" customHeight="1" s="78"/>
    <row r="261" ht="15.75" customHeight="1" s="78"/>
    <row r="262" ht="15.75" customHeight="1" s="78"/>
    <row r="263" ht="15.75" customHeight="1" s="78"/>
    <row r="264" ht="15.75" customHeight="1" s="78"/>
    <row r="265" ht="15.75" customHeight="1" s="78"/>
    <row r="266" ht="15.75" customHeight="1" s="78"/>
    <row r="267" ht="15.75" customHeight="1" s="78"/>
    <row r="268" ht="15.75" customHeight="1" s="78"/>
    <row r="269" ht="15.75" customHeight="1" s="78"/>
    <row r="270" ht="15.75" customHeight="1" s="78"/>
    <row r="271" ht="15.75" customHeight="1" s="78"/>
    <row r="272" ht="15.75" customHeight="1" s="78"/>
    <row r="273" ht="15.75" customHeight="1" s="78"/>
    <row r="274" ht="15.75" customHeight="1" s="78"/>
    <row r="275" ht="15.75" customHeight="1" s="78"/>
    <row r="276" ht="15.75" customHeight="1" s="78"/>
    <row r="277" ht="15.75" customHeight="1" s="78"/>
    <row r="278" ht="15.75" customHeight="1" s="78"/>
    <row r="279" ht="15.75" customHeight="1" s="78"/>
    <row r="280" ht="15.75" customHeight="1" s="78"/>
    <row r="281" ht="15.75" customHeight="1" s="78"/>
    <row r="282" ht="15.75" customHeight="1" s="78"/>
    <row r="283" ht="15.75" customHeight="1" s="78"/>
    <row r="284" ht="15.75" customHeight="1" s="78"/>
    <row r="285" ht="15.75" customHeight="1" s="78"/>
    <row r="286" ht="15.75" customHeight="1" s="78"/>
    <row r="287" ht="15.75" customHeight="1" s="78"/>
    <row r="288" ht="15.75" customHeight="1" s="78"/>
    <row r="289" ht="15.75" customHeight="1" s="78"/>
    <row r="290" ht="15.75" customHeight="1" s="78"/>
    <row r="291" ht="15.75" customHeight="1" s="78"/>
    <row r="292" ht="15.75" customHeight="1" s="78"/>
    <row r="293" ht="15.75" customHeight="1" s="78"/>
    <row r="294" ht="15.75" customHeight="1" s="78"/>
    <row r="295" ht="15.75" customHeight="1" s="78"/>
    <row r="296" ht="15.75" customHeight="1" s="78"/>
    <row r="297" ht="15.75" customHeight="1" s="78"/>
    <row r="298" ht="15.75" customHeight="1" s="78"/>
    <row r="299" ht="15.75" customHeight="1" s="78"/>
    <row r="300" ht="15.75" customHeight="1" s="78"/>
    <row r="301" ht="15.75" customHeight="1" s="78"/>
    <row r="302" ht="15.75" customHeight="1" s="78"/>
    <row r="303" ht="15.75" customHeight="1" s="78"/>
    <row r="304" ht="15.75" customHeight="1" s="78"/>
    <row r="305" ht="15.75" customHeight="1" s="78"/>
    <row r="306" ht="15.75" customHeight="1" s="78"/>
    <row r="307" ht="15.75" customHeight="1" s="78"/>
    <row r="308" ht="15.75" customHeight="1" s="78"/>
    <row r="309" ht="15.75" customHeight="1" s="78"/>
    <row r="310" ht="15.75" customHeight="1" s="78"/>
    <row r="311" ht="15.75" customHeight="1" s="78"/>
    <row r="312" ht="15.75" customHeight="1" s="78"/>
    <row r="313" ht="15.75" customHeight="1" s="78"/>
    <row r="314" ht="15.75" customHeight="1" s="78"/>
    <row r="315" ht="15.75" customHeight="1" s="78"/>
    <row r="316" ht="15.75" customHeight="1" s="78"/>
    <row r="317" ht="15.75" customHeight="1" s="78"/>
    <row r="318" ht="15.75" customHeight="1" s="78"/>
    <row r="319" ht="15.75" customHeight="1" s="78"/>
    <row r="320" ht="15.75" customHeight="1" s="78"/>
    <row r="321" ht="15.75" customHeight="1" s="78"/>
    <row r="322" ht="15.75" customHeight="1" s="78"/>
    <row r="323" ht="15.75" customHeight="1" s="78"/>
    <row r="324" ht="15.75" customHeight="1" s="78"/>
    <row r="325" ht="15.75" customHeight="1" s="78"/>
    <row r="326" ht="15.75" customHeight="1" s="78"/>
    <row r="327" ht="15.75" customHeight="1" s="78"/>
    <row r="328" ht="15.75" customHeight="1" s="78"/>
    <row r="329" ht="15.75" customHeight="1" s="78"/>
    <row r="330" ht="15.75" customHeight="1" s="78"/>
    <row r="331" ht="15.75" customHeight="1" s="78"/>
    <row r="332" ht="15.75" customHeight="1" s="78"/>
    <row r="333" ht="15.75" customHeight="1" s="78"/>
    <row r="334" ht="15.75" customHeight="1" s="78"/>
    <row r="335" ht="15.75" customHeight="1" s="78"/>
    <row r="336" ht="15.75" customHeight="1" s="78"/>
    <row r="337" ht="15.75" customHeight="1" s="78"/>
    <row r="338" ht="15.75" customHeight="1" s="78"/>
    <row r="339" ht="15.75" customHeight="1" s="78"/>
    <row r="340" ht="15.75" customHeight="1" s="78"/>
    <row r="341" ht="15.75" customHeight="1" s="78"/>
    <row r="342" ht="15.75" customHeight="1" s="78"/>
    <row r="343" ht="15.75" customHeight="1" s="78"/>
    <row r="344" ht="15.75" customHeight="1" s="78"/>
    <row r="345" ht="15.75" customHeight="1" s="78"/>
    <row r="346" ht="15.75" customHeight="1" s="78"/>
    <row r="347" ht="15.75" customHeight="1" s="78"/>
    <row r="348" ht="15.75" customHeight="1" s="78"/>
    <row r="349" ht="15.75" customHeight="1" s="78"/>
    <row r="350" ht="15.75" customHeight="1" s="78"/>
    <row r="351" ht="15.75" customHeight="1" s="78"/>
    <row r="352" ht="15.75" customHeight="1" s="78"/>
    <row r="353" ht="15.75" customHeight="1" s="78"/>
    <row r="354" ht="15.75" customHeight="1" s="78"/>
    <row r="355" ht="15.75" customHeight="1" s="78"/>
    <row r="356" ht="15.75" customHeight="1" s="78"/>
    <row r="357" ht="15.75" customHeight="1" s="78"/>
    <row r="358" ht="15.75" customHeight="1" s="78"/>
    <row r="359" ht="15.75" customHeight="1" s="78"/>
    <row r="360" ht="15.75" customHeight="1" s="78"/>
    <row r="361" ht="15.75" customHeight="1" s="78"/>
    <row r="362" ht="15.75" customHeight="1" s="78"/>
    <row r="363" ht="15.75" customHeight="1" s="78"/>
    <row r="364" ht="15.75" customHeight="1" s="78"/>
    <row r="365" ht="15.75" customHeight="1" s="78"/>
    <row r="366" ht="15.75" customHeight="1" s="78"/>
    <row r="367" ht="15.75" customHeight="1" s="78"/>
    <row r="368" ht="15.75" customHeight="1" s="78"/>
    <row r="369" ht="15.75" customHeight="1" s="78"/>
    <row r="370" ht="15.75" customHeight="1" s="78"/>
    <row r="371" ht="15.75" customHeight="1" s="78"/>
    <row r="372" ht="15.75" customHeight="1" s="78"/>
    <row r="373" ht="15.75" customHeight="1" s="78"/>
    <row r="374" ht="15.75" customHeight="1" s="78"/>
    <row r="375" ht="15.75" customHeight="1" s="78"/>
    <row r="376" ht="15.75" customHeight="1" s="78"/>
    <row r="377" ht="15.75" customHeight="1" s="78"/>
    <row r="378" ht="15.75" customHeight="1" s="78"/>
    <row r="379" ht="15.75" customHeight="1" s="78"/>
    <row r="380" ht="15.75" customHeight="1" s="78"/>
    <row r="381" ht="15.75" customHeight="1" s="78"/>
    <row r="382" ht="15.75" customHeight="1" s="78"/>
    <row r="383" ht="15.75" customHeight="1" s="78"/>
    <row r="384" ht="15.75" customHeight="1" s="78"/>
    <row r="385" ht="15.75" customHeight="1" s="78"/>
    <row r="386" ht="15.75" customHeight="1" s="78"/>
    <row r="387" ht="15.75" customHeight="1" s="78"/>
    <row r="388" ht="15.75" customHeight="1" s="78"/>
    <row r="389" ht="15.75" customHeight="1" s="78"/>
    <row r="390" ht="15.75" customHeight="1" s="78"/>
    <row r="391" ht="15.75" customHeight="1" s="78"/>
    <row r="392" ht="15.75" customHeight="1" s="78"/>
    <row r="393" ht="15.75" customHeight="1" s="78"/>
    <row r="394" ht="15.75" customHeight="1" s="78"/>
    <row r="395" ht="15.75" customHeight="1" s="78"/>
    <row r="396" ht="15.75" customHeight="1" s="78"/>
    <row r="397" ht="15.75" customHeight="1" s="78"/>
    <row r="398" ht="15.75" customHeight="1" s="78"/>
    <row r="399" ht="15.75" customHeight="1" s="78"/>
    <row r="400" ht="15.75" customHeight="1" s="78"/>
    <row r="401" ht="15.75" customHeight="1" s="78"/>
    <row r="402" ht="15.75" customHeight="1" s="78"/>
    <row r="403" ht="15.75" customHeight="1" s="78"/>
    <row r="404" ht="15.75" customHeight="1" s="78"/>
    <row r="405" ht="15.75" customHeight="1" s="78"/>
    <row r="406" ht="15.75" customHeight="1" s="78"/>
    <row r="407" ht="15.75" customHeight="1" s="78"/>
    <row r="408" ht="15.75" customHeight="1" s="78"/>
    <row r="409" ht="15.75" customHeight="1" s="78"/>
    <row r="410" ht="15.75" customHeight="1" s="78"/>
    <row r="411" ht="15.75" customHeight="1" s="78"/>
    <row r="412" ht="15.75" customHeight="1" s="78"/>
    <row r="413" ht="15.75" customHeight="1" s="78"/>
    <row r="414" ht="15.75" customHeight="1" s="78"/>
    <row r="415" ht="15.75" customHeight="1" s="78"/>
    <row r="416" ht="15.75" customHeight="1" s="78"/>
    <row r="417" ht="15.75" customHeight="1" s="78"/>
    <row r="418" ht="15.75" customHeight="1" s="78"/>
    <row r="419" ht="15.75" customHeight="1" s="78"/>
    <row r="420" ht="15.75" customHeight="1" s="78"/>
    <row r="421" ht="15.75" customHeight="1" s="78"/>
    <row r="422" ht="15.75" customHeight="1" s="78"/>
    <row r="423" ht="15.75" customHeight="1" s="78"/>
    <row r="424" ht="15.75" customHeight="1" s="78"/>
    <row r="425" ht="15.75" customHeight="1" s="78"/>
    <row r="426" ht="15.75" customHeight="1" s="78"/>
    <row r="427" ht="15.75" customHeight="1" s="78"/>
    <row r="428" ht="15.75" customHeight="1" s="78"/>
    <row r="429" ht="15.75" customHeight="1" s="78"/>
    <row r="430" ht="15.75" customHeight="1" s="78"/>
    <row r="431" ht="15.75" customHeight="1" s="78"/>
    <row r="432" ht="15.75" customHeight="1" s="78"/>
    <row r="433" ht="15.75" customHeight="1" s="78"/>
    <row r="434" ht="15.75" customHeight="1" s="78"/>
    <row r="435" ht="15.75" customHeight="1" s="78"/>
    <row r="436" ht="15.75" customHeight="1" s="78"/>
    <row r="437" ht="15.75" customHeight="1" s="78"/>
    <row r="438" ht="15.75" customHeight="1" s="78"/>
    <row r="439" ht="15.75" customHeight="1" s="78"/>
    <row r="440" ht="15.75" customHeight="1" s="78"/>
    <row r="441" ht="15.75" customHeight="1" s="78"/>
    <row r="442" ht="15.75" customHeight="1" s="78"/>
    <row r="443" ht="15.75" customHeight="1" s="78"/>
    <row r="444" ht="15.75" customHeight="1" s="78"/>
    <row r="445" ht="15.75" customHeight="1" s="78"/>
    <row r="446" ht="15.75" customHeight="1" s="78"/>
    <row r="447" ht="15.75" customHeight="1" s="78"/>
    <row r="448" ht="15.75" customHeight="1" s="78"/>
    <row r="449" ht="15.75" customHeight="1" s="78"/>
    <row r="450" ht="15.75" customHeight="1" s="78"/>
    <row r="451" ht="15.75" customHeight="1" s="78"/>
    <row r="452" ht="15.75" customHeight="1" s="78"/>
    <row r="453" ht="15.75" customHeight="1" s="78"/>
    <row r="454" ht="15.75" customHeight="1" s="78"/>
    <row r="455" ht="15.75" customHeight="1" s="78"/>
    <row r="456" ht="15.75" customHeight="1" s="78"/>
    <row r="457" ht="15.75" customHeight="1" s="78"/>
    <row r="458" ht="15.75" customHeight="1" s="78"/>
    <row r="459" ht="15.75" customHeight="1" s="78"/>
    <row r="460" ht="15.75" customHeight="1" s="78"/>
    <row r="461" ht="15.75" customHeight="1" s="78"/>
    <row r="462" ht="15.75" customHeight="1" s="78"/>
    <row r="463" ht="15.75" customHeight="1" s="78"/>
    <row r="464" ht="15.75" customHeight="1" s="78"/>
    <row r="465" ht="15.75" customHeight="1" s="78"/>
    <row r="466" ht="15.75" customHeight="1" s="78"/>
    <row r="467" ht="15.75" customHeight="1" s="78"/>
    <row r="468" ht="15.75" customHeight="1" s="78"/>
    <row r="469" ht="15.75" customHeight="1" s="78"/>
    <row r="470" ht="15.75" customHeight="1" s="78"/>
    <row r="471" ht="15.75" customHeight="1" s="78"/>
    <row r="472" ht="15.75" customHeight="1" s="78"/>
    <row r="473" ht="15.75" customHeight="1" s="78"/>
    <row r="474" ht="15.75" customHeight="1" s="78"/>
    <row r="475" ht="15.75" customHeight="1" s="78"/>
    <row r="476" ht="15.75" customHeight="1" s="78"/>
    <row r="477" ht="15.75" customHeight="1" s="78"/>
    <row r="478" ht="15.75" customHeight="1" s="78"/>
    <row r="479" ht="15.75" customHeight="1" s="78"/>
    <row r="480" ht="15.75" customHeight="1" s="78"/>
    <row r="481" ht="15.75" customHeight="1" s="78"/>
    <row r="482" ht="15.75" customHeight="1" s="78"/>
    <row r="483" ht="15.75" customHeight="1" s="78"/>
    <row r="484" ht="15.75" customHeight="1" s="78"/>
    <row r="485" ht="15.75" customHeight="1" s="78"/>
    <row r="486" ht="15.75" customHeight="1" s="78"/>
    <row r="487" ht="15.75" customHeight="1" s="78"/>
    <row r="488" ht="15.75" customHeight="1" s="78"/>
    <row r="489" ht="15.75" customHeight="1" s="78"/>
    <row r="490" ht="15.75" customHeight="1" s="78"/>
    <row r="491" ht="15.75" customHeight="1" s="78"/>
    <row r="492" ht="15.75" customHeight="1" s="78"/>
    <row r="493" ht="15.75" customHeight="1" s="78"/>
    <row r="494" ht="15.75" customHeight="1" s="78"/>
    <row r="495" ht="15.75" customHeight="1" s="78"/>
    <row r="496" ht="15.75" customHeight="1" s="78"/>
    <row r="497" ht="15.75" customHeight="1" s="78"/>
    <row r="498" ht="15.75" customHeight="1" s="78"/>
    <row r="499" ht="15.75" customHeight="1" s="78"/>
    <row r="500" ht="15.75" customHeight="1" s="78"/>
    <row r="501" ht="15.75" customHeight="1" s="78"/>
    <row r="502" ht="15.75" customHeight="1" s="78"/>
    <row r="503" ht="15.75" customHeight="1" s="78"/>
    <row r="504" ht="15.75" customHeight="1" s="78"/>
    <row r="505" ht="15.75" customHeight="1" s="78"/>
    <row r="506" ht="15.75" customHeight="1" s="78"/>
    <row r="507" ht="15.75" customHeight="1" s="78"/>
    <row r="508" ht="15.75" customHeight="1" s="78"/>
    <row r="509" ht="15.75" customHeight="1" s="78"/>
    <row r="510" ht="15.75" customHeight="1" s="78"/>
    <row r="511" ht="15.75" customHeight="1" s="78"/>
    <row r="512" ht="15.75" customHeight="1" s="78"/>
    <row r="513" ht="15.75" customHeight="1" s="78"/>
    <row r="514" ht="15.75" customHeight="1" s="78"/>
    <row r="515" ht="15.75" customHeight="1" s="78"/>
    <row r="516" ht="15.75" customHeight="1" s="78"/>
    <row r="517" ht="15.75" customHeight="1" s="78"/>
    <row r="518" ht="15.75" customHeight="1" s="78"/>
    <row r="519" ht="15.75" customHeight="1" s="78"/>
    <row r="520" ht="15.75" customHeight="1" s="78"/>
    <row r="521" ht="15.75" customHeight="1" s="78"/>
    <row r="522" ht="15.75" customHeight="1" s="78"/>
    <row r="523" ht="15.75" customHeight="1" s="78"/>
    <row r="524" ht="15.75" customHeight="1" s="78"/>
    <row r="525" ht="15.75" customHeight="1" s="78"/>
    <row r="526" ht="15.75" customHeight="1" s="78"/>
    <row r="527" ht="15.75" customHeight="1" s="78"/>
    <row r="528" ht="15.75" customHeight="1" s="78"/>
    <row r="529" ht="15.75" customHeight="1" s="78"/>
    <row r="530" ht="15.75" customHeight="1" s="78"/>
    <row r="531" ht="15.75" customHeight="1" s="78"/>
    <row r="532" ht="15.75" customHeight="1" s="78"/>
    <row r="533" ht="15.75" customHeight="1" s="78"/>
    <row r="534" ht="15.75" customHeight="1" s="78"/>
    <row r="535" ht="15.75" customHeight="1" s="78"/>
    <row r="536" ht="15.75" customHeight="1" s="78"/>
    <row r="537" ht="15.75" customHeight="1" s="78"/>
    <row r="538" ht="15.75" customHeight="1" s="78"/>
    <row r="539" ht="15.75" customHeight="1" s="78"/>
    <row r="540" ht="15.75" customHeight="1" s="78"/>
    <row r="541" ht="15.75" customHeight="1" s="78"/>
    <row r="542" ht="15.75" customHeight="1" s="78"/>
    <row r="543" ht="15.75" customHeight="1" s="78"/>
    <row r="544" ht="15.75" customHeight="1" s="78"/>
    <row r="545" ht="15.75" customHeight="1" s="78"/>
    <row r="546" ht="15.75" customHeight="1" s="78"/>
    <row r="547" ht="15.75" customHeight="1" s="78"/>
    <row r="548" ht="15.75" customHeight="1" s="78"/>
    <row r="549" ht="15.75" customHeight="1" s="78"/>
    <row r="550" ht="15.75" customHeight="1" s="78"/>
    <row r="551" ht="15.75" customHeight="1" s="78"/>
    <row r="552" ht="15.75" customHeight="1" s="78"/>
    <row r="553" ht="15.75" customHeight="1" s="78"/>
    <row r="554" ht="15.75" customHeight="1" s="78"/>
    <row r="555" ht="15.75" customHeight="1" s="78"/>
    <row r="556" ht="15.75" customHeight="1" s="78"/>
    <row r="557" ht="15.75" customHeight="1" s="78"/>
    <row r="558" ht="15.75" customHeight="1" s="78"/>
    <row r="559" ht="15.75" customHeight="1" s="78"/>
    <row r="560" ht="15.75" customHeight="1" s="78"/>
    <row r="561" ht="15.75" customHeight="1" s="78"/>
    <row r="562" ht="15.75" customHeight="1" s="78"/>
    <row r="563" ht="15.75" customHeight="1" s="78"/>
    <row r="564" ht="15.75" customHeight="1" s="78"/>
    <row r="565" ht="15.75" customHeight="1" s="78"/>
    <row r="566" ht="15.75" customHeight="1" s="78"/>
    <row r="567" ht="15.75" customHeight="1" s="78"/>
    <row r="568" ht="15.75" customHeight="1" s="78"/>
    <row r="569" ht="15.75" customHeight="1" s="78"/>
    <row r="570" ht="15.75" customHeight="1" s="78"/>
    <row r="571" ht="15.75" customHeight="1" s="78"/>
    <row r="572" ht="15.75" customHeight="1" s="78"/>
    <row r="573" ht="15.75" customHeight="1" s="78"/>
    <row r="574" ht="15.75" customHeight="1" s="78"/>
    <row r="575" ht="15.75" customHeight="1" s="78"/>
    <row r="576" ht="15.75" customHeight="1" s="78"/>
    <row r="577" ht="15.75" customHeight="1" s="78"/>
    <row r="578" ht="15.75" customHeight="1" s="78"/>
    <row r="579" ht="15.75" customHeight="1" s="78"/>
    <row r="580" ht="15.75" customHeight="1" s="78"/>
    <row r="581" ht="15.75" customHeight="1" s="78"/>
    <row r="582" ht="15.75" customHeight="1" s="78"/>
    <row r="583" ht="15.75" customHeight="1" s="78"/>
    <row r="584" ht="15.75" customHeight="1" s="78"/>
    <row r="585" ht="15.75" customHeight="1" s="78"/>
    <row r="586" ht="15.75" customHeight="1" s="78"/>
    <row r="587" ht="15.75" customHeight="1" s="78"/>
    <row r="588" ht="15.75" customHeight="1" s="78"/>
    <row r="589" ht="15.75" customHeight="1" s="78"/>
    <row r="590" ht="15.75" customHeight="1" s="78"/>
    <row r="591" ht="15.75" customHeight="1" s="78"/>
    <row r="592" ht="15.75" customHeight="1" s="78"/>
    <row r="593" ht="15.75" customHeight="1" s="78"/>
    <row r="594" ht="15.75" customHeight="1" s="78"/>
    <row r="595" ht="15.75" customHeight="1" s="78"/>
    <row r="596" ht="15.75" customHeight="1" s="78"/>
    <row r="597" ht="15.75" customHeight="1" s="78"/>
    <row r="598" ht="15.75" customHeight="1" s="78"/>
    <row r="599" ht="15.75" customHeight="1" s="78"/>
    <row r="600" ht="15.75" customHeight="1" s="78"/>
    <row r="601" ht="15.75" customHeight="1" s="78"/>
    <row r="602" ht="15.75" customHeight="1" s="78"/>
    <row r="603" ht="15.75" customHeight="1" s="78"/>
    <row r="604" ht="15.75" customHeight="1" s="78"/>
    <row r="605" ht="15.75" customHeight="1" s="78"/>
    <row r="606" ht="15.75" customHeight="1" s="78"/>
    <row r="607" ht="15.75" customHeight="1" s="78"/>
    <row r="608" ht="15.75" customHeight="1" s="78"/>
    <row r="609" ht="15.75" customHeight="1" s="78"/>
    <row r="610" ht="15.75" customHeight="1" s="78"/>
    <row r="611" ht="15.75" customHeight="1" s="78"/>
    <row r="612" ht="15.75" customHeight="1" s="78"/>
    <row r="613" ht="15.75" customHeight="1" s="78"/>
    <row r="614" ht="15.75" customHeight="1" s="78"/>
    <row r="615" ht="15.75" customHeight="1" s="78"/>
    <row r="616" ht="15.75" customHeight="1" s="78"/>
    <row r="617" ht="15.75" customHeight="1" s="78"/>
    <row r="618" ht="15.75" customHeight="1" s="78"/>
    <row r="619" ht="15.75" customHeight="1" s="78"/>
    <row r="620" ht="15.75" customHeight="1" s="78"/>
    <row r="621" ht="15.75" customHeight="1" s="78"/>
    <row r="622" ht="15.75" customHeight="1" s="78"/>
    <row r="623" ht="15.75" customHeight="1" s="78"/>
    <row r="624" ht="15.75" customHeight="1" s="78"/>
    <row r="625" ht="15.75" customHeight="1" s="78"/>
    <row r="626" ht="15.75" customHeight="1" s="78"/>
    <row r="627" ht="15.75" customHeight="1" s="78"/>
    <row r="628" ht="15.75" customHeight="1" s="78"/>
    <row r="629" ht="15.75" customHeight="1" s="78"/>
    <row r="630" ht="15.75" customHeight="1" s="78"/>
    <row r="631" ht="15.75" customHeight="1" s="78"/>
    <row r="632" ht="15.75" customHeight="1" s="78"/>
    <row r="633" ht="15.75" customHeight="1" s="78"/>
    <row r="634" ht="15.75" customHeight="1" s="78"/>
    <row r="635" ht="15.75" customHeight="1" s="78"/>
    <row r="636" ht="15.75" customHeight="1" s="78"/>
    <row r="637" ht="15.75" customHeight="1" s="78"/>
    <row r="638" ht="15.75" customHeight="1" s="78"/>
    <row r="639" ht="15.75" customHeight="1" s="78"/>
    <row r="640" ht="15.75" customHeight="1" s="78"/>
    <row r="641" ht="15.75" customHeight="1" s="78"/>
    <row r="642" ht="15.75" customHeight="1" s="78"/>
    <row r="643" ht="15.75" customHeight="1" s="78"/>
    <row r="644" ht="15.75" customHeight="1" s="78"/>
    <row r="645" ht="15.75" customHeight="1" s="78"/>
    <row r="646" ht="15.75" customHeight="1" s="78"/>
    <row r="647" ht="15.75" customHeight="1" s="78"/>
    <row r="648" ht="15.75" customHeight="1" s="78"/>
    <row r="649" ht="15.75" customHeight="1" s="78"/>
    <row r="650" ht="15.75" customHeight="1" s="78"/>
    <row r="651" ht="15.75" customHeight="1" s="78"/>
    <row r="652" ht="15.75" customHeight="1" s="78"/>
    <row r="653" ht="15.75" customHeight="1" s="78"/>
    <row r="654" ht="15.75" customHeight="1" s="78"/>
    <row r="655" ht="15.75" customHeight="1" s="78"/>
    <row r="656" ht="15.75" customHeight="1" s="78"/>
    <row r="657" ht="15.75" customHeight="1" s="78"/>
    <row r="658" ht="15.75" customHeight="1" s="78"/>
    <row r="659" ht="15.75" customHeight="1" s="78"/>
    <row r="660" ht="15.75" customHeight="1" s="78"/>
    <row r="661" ht="15.75" customHeight="1" s="78"/>
    <row r="662" ht="15.75" customHeight="1" s="78"/>
    <row r="663" ht="15.75" customHeight="1" s="78"/>
    <row r="664" ht="15.75" customHeight="1" s="78"/>
    <row r="665" ht="15.75" customHeight="1" s="78"/>
    <row r="666" ht="15.75" customHeight="1" s="78"/>
    <row r="667" ht="15.75" customHeight="1" s="78"/>
    <row r="668" ht="15.75" customHeight="1" s="78"/>
    <row r="669" ht="15.75" customHeight="1" s="78"/>
    <row r="670" ht="15.75" customHeight="1" s="78"/>
    <row r="671" ht="15.75" customHeight="1" s="78"/>
    <row r="672" ht="15.75" customHeight="1" s="78"/>
    <row r="673" ht="15.75" customHeight="1" s="78"/>
    <row r="674" ht="15.75" customHeight="1" s="78"/>
    <row r="675" ht="15.75" customHeight="1" s="78"/>
    <row r="676" ht="15.75" customHeight="1" s="78"/>
    <row r="677" ht="15.75" customHeight="1" s="78"/>
    <row r="678" ht="15.75" customHeight="1" s="78"/>
    <row r="679" ht="15.75" customHeight="1" s="78"/>
    <row r="680" ht="15.75" customHeight="1" s="78"/>
    <row r="681" ht="15.75" customHeight="1" s="78"/>
    <row r="682" ht="15.75" customHeight="1" s="78"/>
    <row r="683" ht="15.75" customHeight="1" s="78"/>
    <row r="684" ht="15.75" customHeight="1" s="78"/>
    <row r="685" ht="15.75" customHeight="1" s="78"/>
    <row r="686" ht="15.75" customHeight="1" s="78"/>
    <row r="687" ht="15.75" customHeight="1" s="78"/>
    <row r="688" ht="15.75" customHeight="1" s="78"/>
    <row r="689" ht="15.75" customHeight="1" s="78"/>
    <row r="690" ht="15.75" customHeight="1" s="78"/>
    <row r="691" ht="15.75" customHeight="1" s="78"/>
    <row r="692" ht="15.75" customHeight="1" s="78"/>
    <row r="693" ht="15.75" customHeight="1" s="78"/>
    <row r="694" ht="15.75" customHeight="1" s="78"/>
    <row r="695" ht="15.75" customHeight="1" s="78"/>
    <row r="696" ht="15.75" customHeight="1" s="78"/>
    <row r="697" ht="15.75" customHeight="1" s="78"/>
    <row r="698" ht="15.75" customHeight="1" s="78"/>
    <row r="699" ht="15.75" customHeight="1" s="78"/>
    <row r="700" ht="15.75" customHeight="1" s="78"/>
    <row r="701" ht="15.75" customHeight="1" s="78"/>
    <row r="702" ht="15.75" customHeight="1" s="78"/>
    <row r="703" ht="15.75" customHeight="1" s="78"/>
    <row r="704" ht="15.75" customHeight="1" s="78"/>
    <row r="705" ht="15.75" customHeight="1" s="78"/>
    <row r="706" ht="15.75" customHeight="1" s="78"/>
    <row r="707" ht="15.75" customHeight="1" s="78"/>
    <row r="708" ht="15.75" customHeight="1" s="78"/>
    <row r="709" ht="15.75" customHeight="1" s="78"/>
    <row r="710" ht="15.75" customHeight="1" s="78"/>
    <row r="711" ht="15.75" customHeight="1" s="78"/>
    <row r="712" ht="15.75" customHeight="1" s="78"/>
    <row r="713" ht="15.75" customHeight="1" s="78"/>
    <row r="714" ht="15.75" customHeight="1" s="78"/>
    <row r="715" ht="15.75" customHeight="1" s="78"/>
    <row r="716" ht="15.75" customHeight="1" s="78"/>
    <row r="717" ht="15.75" customHeight="1" s="78"/>
    <row r="718" ht="15.75" customHeight="1" s="78"/>
    <row r="719" ht="15.75" customHeight="1" s="78"/>
    <row r="720" ht="15.75" customHeight="1" s="78"/>
    <row r="721" ht="15.75" customHeight="1" s="78"/>
    <row r="722" ht="15.75" customHeight="1" s="78"/>
    <row r="723" ht="15.75" customHeight="1" s="78"/>
    <row r="724" ht="15.75" customHeight="1" s="78"/>
    <row r="725" ht="15.75" customHeight="1" s="78"/>
    <row r="726" ht="15.75" customHeight="1" s="78"/>
    <row r="727" ht="15.75" customHeight="1" s="78"/>
    <row r="728" ht="15.75" customHeight="1" s="78"/>
    <row r="729" ht="15.75" customHeight="1" s="78"/>
    <row r="730" ht="15.75" customHeight="1" s="78"/>
    <row r="731" ht="15.75" customHeight="1" s="78"/>
    <row r="732" ht="15.75" customHeight="1" s="78"/>
    <row r="733" ht="15.75" customHeight="1" s="78"/>
    <row r="734" ht="15.75" customHeight="1" s="78"/>
    <row r="735" ht="15.75" customHeight="1" s="78"/>
    <row r="736" ht="15.75" customHeight="1" s="78"/>
    <row r="737" ht="15.75" customHeight="1" s="78"/>
    <row r="738" ht="15.75" customHeight="1" s="78"/>
    <row r="739" ht="15.75" customHeight="1" s="78"/>
    <row r="740" ht="15.75" customHeight="1" s="78"/>
    <row r="741" ht="15.75" customHeight="1" s="78"/>
    <row r="742" ht="15.75" customHeight="1" s="78"/>
    <row r="743" ht="15.75" customHeight="1" s="78"/>
    <row r="744" ht="15.75" customHeight="1" s="78"/>
    <row r="745" ht="15.75" customHeight="1" s="78"/>
    <row r="746" ht="15.75" customHeight="1" s="78"/>
    <row r="747" ht="15.75" customHeight="1" s="78"/>
    <row r="748" ht="15.75" customHeight="1" s="78"/>
    <row r="749" ht="15.75" customHeight="1" s="78"/>
    <row r="750" ht="15.75" customHeight="1" s="78"/>
    <row r="751" ht="15.75" customHeight="1" s="78"/>
    <row r="752" ht="15.75" customHeight="1" s="78"/>
    <row r="753" ht="15.75" customHeight="1" s="78"/>
    <row r="754" ht="15.75" customHeight="1" s="78"/>
    <row r="755" ht="15.75" customHeight="1" s="78"/>
    <row r="756" ht="15.75" customHeight="1" s="78"/>
    <row r="757" ht="15.75" customHeight="1" s="78"/>
    <row r="758" ht="15.75" customHeight="1" s="78"/>
    <row r="759" ht="15.75" customHeight="1" s="78"/>
    <row r="760" ht="15.75" customHeight="1" s="78"/>
    <row r="761" ht="15.75" customHeight="1" s="78"/>
    <row r="762" ht="15.75" customHeight="1" s="78"/>
    <row r="763" ht="15.75" customHeight="1" s="78"/>
    <row r="764" ht="15.75" customHeight="1" s="78"/>
    <row r="765" ht="15.75" customHeight="1" s="78"/>
    <row r="766" ht="15.75" customHeight="1" s="78"/>
    <row r="767" ht="15.75" customHeight="1" s="78"/>
    <row r="768" ht="15.75" customHeight="1" s="78"/>
    <row r="769" ht="15.75" customHeight="1" s="78"/>
    <row r="770" ht="15.75" customHeight="1" s="78"/>
    <row r="771" ht="15.75" customHeight="1" s="78"/>
    <row r="772" ht="15.75" customHeight="1" s="78"/>
    <row r="773" ht="15.75" customHeight="1" s="78"/>
    <row r="774" ht="15.75" customHeight="1" s="78"/>
    <row r="775" ht="15.75" customHeight="1" s="78"/>
    <row r="776" ht="15.75" customHeight="1" s="78"/>
    <row r="777" ht="15.75" customHeight="1" s="78"/>
    <row r="778" ht="15.75" customHeight="1" s="78"/>
    <row r="779" ht="15.75" customHeight="1" s="78"/>
    <row r="780" ht="15.75" customHeight="1" s="78"/>
    <row r="781" ht="15.75" customHeight="1" s="78"/>
    <row r="782" ht="15.75" customHeight="1" s="78"/>
    <row r="783" ht="15.75" customHeight="1" s="78"/>
    <row r="784" ht="15.75" customHeight="1" s="78"/>
    <row r="785" ht="15.75" customHeight="1" s="78"/>
    <row r="786" ht="15.75" customHeight="1" s="78"/>
    <row r="787" ht="15.75" customHeight="1" s="78"/>
    <row r="788" ht="15.75" customHeight="1" s="78"/>
    <row r="789" ht="15.75" customHeight="1" s="78"/>
    <row r="790" ht="15.75" customHeight="1" s="78"/>
    <row r="791" ht="15.75" customHeight="1" s="78"/>
    <row r="792" ht="15.75" customHeight="1" s="78"/>
    <row r="793" ht="15.75" customHeight="1" s="78"/>
    <row r="794" ht="15.75" customHeight="1" s="78"/>
    <row r="795" ht="15.75" customHeight="1" s="78"/>
    <row r="796" ht="15.75" customHeight="1" s="78"/>
    <row r="797" ht="15.75" customHeight="1" s="78"/>
    <row r="798" ht="15.75" customHeight="1" s="78"/>
    <row r="799" ht="15.75" customHeight="1" s="78"/>
    <row r="800" ht="15.75" customHeight="1" s="78"/>
    <row r="801" ht="15.75" customHeight="1" s="78"/>
    <row r="802" ht="15.75" customHeight="1" s="78"/>
    <row r="803" ht="15.75" customHeight="1" s="78"/>
    <row r="804" ht="15.75" customHeight="1" s="78"/>
    <row r="805" ht="15.75" customHeight="1" s="78"/>
    <row r="806" ht="15.75" customHeight="1" s="78"/>
    <row r="807" ht="15.75" customHeight="1" s="78"/>
    <row r="808" ht="15.75" customHeight="1" s="78"/>
    <row r="809" ht="15.75" customHeight="1" s="78"/>
    <row r="810" ht="15.75" customHeight="1" s="78"/>
    <row r="811" ht="15.75" customHeight="1" s="78"/>
    <row r="812" ht="15.75" customHeight="1" s="78"/>
    <row r="813" ht="15.75" customHeight="1" s="78"/>
    <row r="814" ht="15.75" customHeight="1" s="78"/>
    <row r="815" ht="15.75" customHeight="1" s="78"/>
    <row r="816" ht="15.75" customHeight="1" s="78"/>
    <row r="817" ht="15.75" customHeight="1" s="78"/>
    <row r="818" ht="15.75" customHeight="1" s="78"/>
    <row r="819" ht="15.75" customHeight="1" s="78"/>
    <row r="820" ht="15.75" customHeight="1" s="78"/>
    <row r="821" ht="15.75" customHeight="1" s="78"/>
    <row r="822" ht="15.75" customHeight="1" s="78"/>
    <row r="823" ht="15.75" customHeight="1" s="78"/>
    <row r="824" ht="15.75" customHeight="1" s="78"/>
    <row r="825" ht="15.75" customHeight="1" s="78"/>
    <row r="826" ht="15.75" customHeight="1" s="78"/>
    <row r="827" ht="15.75" customHeight="1" s="78"/>
    <row r="828" ht="15.75" customHeight="1" s="78"/>
    <row r="829" ht="15.75" customHeight="1" s="78"/>
    <row r="830" ht="15.75" customHeight="1" s="78"/>
    <row r="831" ht="15.75" customHeight="1" s="78"/>
    <row r="832" ht="15.75" customHeight="1" s="78"/>
    <row r="833" ht="15.75" customHeight="1" s="78"/>
    <row r="834" ht="15.75" customHeight="1" s="78"/>
    <row r="835" ht="15.75" customHeight="1" s="78"/>
    <row r="836" ht="15.75" customHeight="1" s="78"/>
    <row r="837" ht="15.75" customHeight="1" s="78"/>
    <row r="838" ht="15.75" customHeight="1" s="78"/>
    <row r="839" ht="15.75" customHeight="1" s="78"/>
    <row r="840" ht="15.75" customHeight="1" s="78"/>
    <row r="841" ht="15.75" customHeight="1" s="78"/>
    <row r="842" ht="15.75" customHeight="1" s="78"/>
    <row r="843" ht="15.75" customHeight="1" s="78"/>
    <row r="844" ht="15.75" customHeight="1" s="78"/>
    <row r="845" ht="15.75" customHeight="1" s="78"/>
    <row r="846" ht="15.75" customHeight="1" s="78"/>
    <row r="847" ht="15.75" customHeight="1" s="78"/>
    <row r="848" ht="15.75" customHeight="1" s="78"/>
    <row r="849" ht="15.75" customHeight="1" s="78"/>
    <row r="850" ht="15.75" customHeight="1" s="78"/>
    <row r="851" ht="15.75" customHeight="1" s="78"/>
    <row r="852" ht="15.75" customHeight="1" s="78"/>
    <row r="853" ht="15.75" customHeight="1" s="78"/>
    <row r="854" ht="15.75" customHeight="1" s="78"/>
    <row r="855" ht="15.75" customHeight="1" s="78"/>
    <row r="856" ht="15.75" customHeight="1" s="78"/>
    <row r="857" ht="15.75" customHeight="1" s="78"/>
    <row r="858" ht="15.75" customHeight="1" s="78"/>
    <row r="859" ht="15.75" customHeight="1" s="78"/>
    <row r="860" ht="15.75" customHeight="1" s="78"/>
    <row r="861" ht="15.75" customHeight="1" s="78"/>
    <row r="862" ht="15.75" customHeight="1" s="78"/>
    <row r="863" ht="15.75" customHeight="1" s="78"/>
    <row r="864" ht="15.75" customHeight="1" s="78"/>
    <row r="865" ht="15.75" customHeight="1" s="78"/>
    <row r="866" ht="15.75" customHeight="1" s="78"/>
    <row r="867" ht="15.75" customHeight="1" s="78"/>
    <row r="868" ht="15.75" customHeight="1" s="78"/>
    <row r="869" ht="15.75" customHeight="1" s="78"/>
    <row r="870" ht="15.75" customHeight="1" s="78"/>
    <row r="871" ht="15.75" customHeight="1" s="78"/>
    <row r="872" ht="15.75" customHeight="1" s="78"/>
    <row r="873" ht="15.75" customHeight="1" s="78"/>
    <row r="874" ht="15.75" customHeight="1" s="78"/>
    <row r="875" ht="15.75" customHeight="1" s="78"/>
    <row r="876" ht="15.75" customHeight="1" s="78"/>
    <row r="877" ht="15.75" customHeight="1" s="78"/>
    <row r="878" ht="15.75" customHeight="1" s="78"/>
    <row r="879" ht="15.75" customHeight="1" s="78"/>
    <row r="880" ht="15.75" customHeight="1" s="78"/>
    <row r="881" ht="15.75" customHeight="1" s="78"/>
    <row r="882" ht="15.75" customHeight="1" s="78"/>
    <row r="883" ht="15.75" customHeight="1" s="78"/>
    <row r="884" ht="15.75" customHeight="1" s="78"/>
    <row r="885" ht="15.75" customHeight="1" s="78"/>
    <row r="886" ht="15.75" customHeight="1" s="78"/>
    <row r="887" ht="15.75" customHeight="1" s="78"/>
    <row r="888" ht="15.75" customHeight="1" s="78"/>
    <row r="889" ht="15.75" customHeight="1" s="78"/>
    <row r="890" ht="15.75" customHeight="1" s="78"/>
    <row r="891" ht="15.75" customHeight="1" s="78"/>
    <row r="892" ht="15.75" customHeight="1" s="78"/>
    <row r="893" ht="15.75" customHeight="1" s="78"/>
    <row r="894" ht="15.75" customHeight="1" s="78"/>
    <row r="895" ht="15.75" customHeight="1" s="78"/>
    <row r="896" ht="15.75" customHeight="1" s="78"/>
    <row r="897" ht="15.75" customHeight="1" s="78"/>
    <row r="898" ht="15.75" customHeight="1" s="78"/>
    <row r="899" ht="15.75" customHeight="1" s="78"/>
    <row r="900" ht="15.75" customHeight="1" s="78"/>
    <row r="901" ht="15.75" customHeight="1" s="78"/>
    <row r="902" ht="15.75" customHeight="1" s="78"/>
    <row r="903" ht="15.75" customHeight="1" s="78"/>
    <row r="904" ht="15.75" customHeight="1" s="78"/>
    <row r="905" ht="15.75" customHeight="1" s="78"/>
    <row r="906" ht="15.75" customHeight="1" s="78"/>
    <row r="907" ht="15.75" customHeight="1" s="78"/>
    <row r="908" ht="15.75" customHeight="1" s="78"/>
    <row r="909" ht="15.75" customHeight="1" s="78"/>
    <row r="910" ht="15.75" customHeight="1" s="78"/>
    <row r="911" ht="15.75" customHeight="1" s="78"/>
    <row r="912" ht="15.75" customHeight="1" s="78"/>
    <row r="913" ht="15.75" customHeight="1" s="78"/>
    <row r="914" ht="15.75" customHeight="1" s="78"/>
    <row r="915" ht="15.75" customHeight="1" s="78"/>
    <row r="916" ht="15.75" customHeight="1" s="78"/>
    <row r="917" ht="15.75" customHeight="1" s="78"/>
    <row r="918" ht="15.75" customHeight="1" s="78"/>
    <row r="919" ht="15.75" customHeight="1" s="78"/>
    <row r="920" ht="15.75" customHeight="1" s="78"/>
    <row r="921" ht="15.75" customHeight="1" s="78"/>
    <row r="922" ht="15.75" customHeight="1" s="78"/>
    <row r="923" ht="15.75" customHeight="1" s="78"/>
    <row r="924" ht="15.75" customHeight="1" s="78"/>
    <row r="925" ht="15.75" customHeight="1" s="78"/>
    <row r="926" ht="15.75" customHeight="1" s="78"/>
    <row r="927" ht="15.75" customHeight="1" s="78"/>
    <row r="928" ht="15.75" customHeight="1" s="78"/>
    <row r="929" ht="15.75" customHeight="1" s="78"/>
    <row r="930" ht="15.75" customHeight="1" s="78"/>
    <row r="931" ht="15.75" customHeight="1" s="78"/>
    <row r="932" ht="15.75" customHeight="1" s="78"/>
    <row r="933" ht="15.75" customHeight="1" s="78"/>
    <row r="934" ht="15.75" customHeight="1" s="78"/>
    <row r="935" ht="15.75" customHeight="1" s="78"/>
    <row r="936" ht="15.75" customHeight="1" s="78"/>
    <row r="937" ht="15.75" customHeight="1" s="78"/>
    <row r="938" ht="15.75" customHeight="1" s="78"/>
    <row r="939" ht="15.75" customHeight="1" s="78"/>
    <row r="940" ht="15.75" customHeight="1" s="78"/>
    <row r="941" ht="15.75" customHeight="1" s="78"/>
    <row r="942" ht="15.75" customHeight="1" s="78"/>
    <row r="943" ht="15.75" customHeight="1" s="78"/>
    <row r="944" ht="15.75" customHeight="1" s="78"/>
    <row r="945" ht="15.75" customHeight="1" s="78"/>
    <row r="946" ht="15.75" customHeight="1" s="78"/>
    <row r="947" ht="15.75" customHeight="1" s="78"/>
    <row r="948" ht="15.75" customHeight="1" s="78"/>
    <row r="949" ht="15.75" customHeight="1" s="78"/>
    <row r="950" ht="15.75" customHeight="1" s="78"/>
    <row r="951" ht="15.75" customHeight="1" s="78"/>
    <row r="952" ht="15.75" customHeight="1" s="78"/>
    <row r="953" ht="15.75" customHeight="1" s="78"/>
    <row r="954" ht="15.75" customHeight="1" s="78"/>
    <row r="955" ht="15.75" customHeight="1" s="78"/>
    <row r="956" ht="15.75" customHeight="1" s="78"/>
    <row r="957" ht="15.75" customHeight="1" s="78"/>
    <row r="958" ht="15.75" customHeight="1" s="78"/>
    <row r="959" ht="15.75" customHeight="1" s="78"/>
    <row r="960" ht="15.75" customHeight="1" s="78"/>
    <row r="961" ht="15.75" customHeight="1" s="78"/>
    <row r="962" ht="15.75" customHeight="1" s="78"/>
    <row r="963" ht="15.75" customHeight="1" s="78"/>
    <row r="964" ht="15.75" customHeight="1" s="78"/>
    <row r="965" ht="15.75" customHeight="1" s="78"/>
    <row r="966" ht="15.75" customHeight="1" s="78"/>
    <row r="967" ht="15.75" customHeight="1" s="78"/>
    <row r="968" ht="15.75" customHeight="1" s="78"/>
    <row r="969" ht="15.75" customHeight="1" s="78"/>
    <row r="970" ht="15.75" customHeight="1" s="78"/>
    <row r="971" ht="15.75" customHeight="1" s="78"/>
    <row r="972" ht="15.75" customHeight="1" s="78"/>
    <row r="973" ht="15.75" customHeight="1" s="78"/>
    <row r="974" ht="15.75" customHeight="1" s="78"/>
    <row r="975" ht="15.75" customHeight="1" s="78"/>
    <row r="976" ht="15.75" customHeight="1" s="78"/>
    <row r="977" ht="15.75" customHeight="1" s="78"/>
    <row r="978" ht="15.75" customHeight="1" s="78"/>
    <row r="979" ht="15.75" customHeight="1" s="78"/>
    <row r="980" ht="15.75" customHeight="1" s="78"/>
    <row r="981" ht="15.75" customHeight="1" s="78"/>
    <row r="982" ht="15.75" customHeight="1" s="78"/>
    <row r="983" ht="15.75" customHeight="1" s="78"/>
    <row r="984" ht="15.75" customHeight="1" s="78"/>
    <row r="985" ht="15.75" customHeight="1" s="78"/>
    <row r="986" ht="15.75" customHeight="1" s="78"/>
    <row r="987" ht="15.75" customHeight="1" s="78"/>
    <row r="988" ht="15.75" customHeight="1" s="78"/>
    <row r="989" ht="15.75" customHeight="1" s="78"/>
    <row r="990" ht="15.75" customHeight="1" s="78"/>
    <row r="991" ht="15.75" customHeight="1" s="78"/>
    <row r="992" ht="15.75" customHeight="1" s="78"/>
    <row r="993" ht="15.75" customHeight="1" s="78"/>
    <row r="994" ht="15.75" customHeight="1" s="78"/>
    <row r="995" ht="15.75" customHeight="1" s="78"/>
    <row r="996" ht="15.75" customHeight="1" s="78"/>
    <row r="997" ht="15.75" customHeight="1" s="78"/>
    <row r="998" ht="15.75" customHeight="1" s="78"/>
    <row r="999" ht="15.75" customHeight="1" s="78"/>
    <row r="1000" ht="15.75" customHeight="1" s="78"/>
  </sheetData>
  <mergeCells count="2">
    <mergeCell ref="A2:H2"/>
    <mergeCell ref="A1:H1"/>
  </mergeCells>
  <pageMargins left="0.75" right="0.75" top="1" bottom="1" header="0" footer="0"/>
  <pageSetup orientation="landscape" fitToHeight="0"/>
</worksheet>
</file>

<file path=xl/worksheets/sheet3.xml><?xml version="1.0" encoding="utf-8"?>
<worksheet xmlns="http://schemas.openxmlformats.org/spreadsheetml/2006/main">
  <sheetPr>
    <outlinePr summaryBelow="1" summaryRight="1"/>
    <pageSetUpPr fitToPage="1"/>
  </sheetPr>
  <dimension ref="A1:G44"/>
  <sheetViews>
    <sheetView showGridLines="0" workbookViewId="0">
      <pane ySplit="4" topLeftCell="A5" activePane="bottomLeft" state="frozen"/>
      <selection pane="bottomLeft" activeCell="B6" sqref="B6"/>
    </sheetView>
  </sheetViews>
  <sheetFormatPr baseColWidth="8" defaultColWidth="14.43" defaultRowHeight="15" customHeight="1"/>
  <cols>
    <col width="8" customWidth="1" style="78" min="1" max="1"/>
    <col width="30" customWidth="1" style="78" min="2" max="2"/>
    <col width="7" customWidth="1" style="78" min="3" max="3"/>
    <col width="38.29" customWidth="1" style="78" min="4" max="4"/>
    <col width="46" customWidth="1" style="78" min="5" max="6"/>
    <col width="20" customWidth="1" style="78" min="7" max="7"/>
    <col width="8.710000000000001" customWidth="1" style="78" min="8" max="26"/>
  </cols>
  <sheetData>
    <row r="1">
      <c r="A1" s="3" t="inlineStr">
        <is>
          <t>Success Criteria Glossary — Name and Plain-Language Explanation</t>
        </is>
      </c>
    </row>
    <row r="2" ht="30" customHeight="1" s="78">
      <c r="A2" s="6" t="inlineStr">
        <is>
          <t>Every WCAG 2.2 success criterion used on the app scorecards, in plain language, plus why it matters specifically for a blind screen-reader user in a financial app. The three greyed-out rows at the end are success criteria that exist in WCAG but are excluded from scoring for non-web software (see Methodology, Section 1).</t>
        </is>
      </c>
    </row>
    <row r="4" ht="24" customHeight="1" s="78">
      <c r="A4" s="8" t="inlineStr">
        <is>
          <t>SC #</t>
        </is>
      </c>
      <c r="B4" s="8" t="inlineStr">
        <is>
          <t>Name</t>
        </is>
      </c>
      <c r="C4" s="8" t="inlineStr">
        <is>
          <t>Level</t>
        </is>
      </c>
      <c r="D4" s="8" t="inlineStr">
        <is>
          <t>Principle</t>
        </is>
      </c>
      <c r="E4" s="8" t="inlineStr">
        <is>
          <t>Plain-language explanation</t>
        </is>
      </c>
      <c r="F4" s="8" t="inlineStr">
        <is>
          <t>Why it matters for a blind user in a financial app</t>
        </is>
      </c>
      <c r="G4" s="8" t="inlineStr">
        <is>
          <t>In this scorecard?</t>
        </is>
      </c>
    </row>
    <row r="5">
      <c r="A5" s="10" t="inlineStr">
        <is>
          <t>1.1.1</t>
        </is>
      </c>
      <c r="B5" s="11" t="inlineStr">
        <is>
          <t>Non-text Content</t>
        </is>
      </c>
      <c r="C5" s="13" t="inlineStr">
        <is>
          <t>A</t>
        </is>
      </c>
      <c r="D5" s="15" t="inlineStr">
        <is>
          <t>Perceivable</t>
        </is>
      </c>
      <c r="E5" s="17" t="inlineStr">
        <is>
          <t>Every image, icon, or button that isn't text has a text alternative that serves the same purpose, so software can present it as text.</t>
        </is>
      </c>
      <c r="F5" s="20" t="inlineStr">
        <is>
          <t>Without this, a screen reader announces an icon-only button as just 'button' — the user has no way to know what it does.</t>
        </is>
      </c>
      <c r="G5" s="21" t="inlineStr">
        <is>
          <t>Included</t>
        </is>
      </c>
    </row>
    <row r="6">
      <c r="A6" s="22" t="inlineStr">
        <is>
          <t>1.3.1</t>
        </is>
      </c>
      <c r="B6" s="25" t="inlineStr">
        <is>
          <t>Info and Relationships</t>
        </is>
      </c>
      <c r="C6" s="13" t="inlineStr">
        <is>
          <t>A</t>
        </is>
      </c>
      <c r="D6" s="29" t="inlineStr">
        <is>
          <t>Perceivable</t>
        </is>
      </c>
      <c r="E6" s="33" t="inlineStr">
        <is>
          <t>Structure and grouping that a sighted user perceives visually (headings, lists, related fields) must also be available programmatically, not just through layout.</t>
        </is>
      </c>
      <c r="F6" s="36" t="inlineStr">
        <is>
          <t>A screen reader can only announce structure it can detect in the accessibility tree — visual grouping alone (e.g. a box drawn around related fields) says nothing to it.</t>
        </is>
      </c>
      <c r="G6" s="37" t="inlineStr">
        <is>
          <t>Included</t>
        </is>
      </c>
    </row>
    <row r="7">
      <c r="A7" s="10" t="inlineStr">
        <is>
          <t>1.3.2</t>
        </is>
      </c>
      <c r="B7" s="11" t="inlineStr">
        <is>
          <t>Meaningful Sequence</t>
        </is>
      </c>
      <c r="C7" s="13" t="inlineStr">
        <is>
          <t>A</t>
        </is>
      </c>
      <c r="D7" s="15" t="inlineStr">
        <is>
          <t>Perceivable</t>
        </is>
      </c>
      <c r="E7" s="17" t="inlineStr">
        <is>
          <t>When the order content is presented in affects its meaning, the correct reading order can be determined programmatically.</t>
        </is>
      </c>
      <c r="F7" s="20" t="inlineStr">
        <is>
          <t>If the swipe order jumps around the screen instead of following a logical path, a transaction form becomes very hard to fill in blind.</t>
        </is>
      </c>
      <c r="G7" s="21" t="inlineStr">
        <is>
          <t>Included</t>
        </is>
      </c>
    </row>
    <row r="8">
      <c r="A8" s="22" t="inlineStr">
        <is>
          <t>1.3.3</t>
        </is>
      </c>
      <c r="B8" s="25" t="inlineStr">
        <is>
          <t>Sensory Characteristics</t>
        </is>
      </c>
      <c r="C8" s="13" t="inlineStr">
        <is>
          <t>A</t>
        </is>
      </c>
      <c r="D8" s="29" t="inlineStr">
        <is>
          <t>Perceivable</t>
        </is>
      </c>
      <c r="E8" s="33" t="inlineStr">
        <is>
          <t>Instructions don't rely only on shape, size, visual position, orientation, or sound to identify something (e.g. 'the round green button on the right').</t>
        </is>
      </c>
      <c r="F8" s="36" t="inlineStr">
        <is>
          <t>A blind user cannot act on 'the button on the right' — instructions and identifiers need to work without sight.</t>
        </is>
      </c>
      <c r="G8" s="37" t="inlineStr">
        <is>
          <t>Included</t>
        </is>
      </c>
    </row>
    <row r="9">
      <c r="A9" s="10" t="inlineStr">
        <is>
          <t>1.4.1</t>
        </is>
      </c>
      <c r="B9" s="11" t="inlineStr">
        <is>
          <t>Use of Color</t>
        </is>
      </c>
      <c r="C9" s="13" t="inlineStr">
        <is>
          <t>A</t>
        </is>
      </c>
      <c r="D9" s="15" t="inlineStr">
        <is>
          <t>Perceivable</t>
        </is>
      </c>
      <c r="E9" s="17" t="inlineStr">
        <is>
          <t>Colour is never the only way information, an action, or a state is conveyed.</t>
        </is>
      </c>
      <c r="F9" s="20" t="inlineStr">
        <is>
          <t>Directly a low-vision/colour-blind concern more than a total-blindness one, but state changes (e.g. selected vs. not) still need a non-colour cue for consistency across assistive tech.</t>
        </is>
      </c>
      <c r="G9" s="21" t="inlineStr">
        <is>
          <t>Included</t>
        </is>
      </c>
    </row>
    <row r="10">
      <c r="A10" s="22" t="inlineStr">
        <is>
          <t>2.1.1</t>
        </is>
      </c>
      <c r="B10" s="25" t="inlineStr">
        <is>
          <t>Keyboard (assistive-tech equivalent)</t>
        </is>
      </c>
      <c r="C10" s="13" t="inlineStr">
        <is>
          <t>A</t>
        </is>
      </c>
      <c r="D10" s="29" t="inlineStr">
        <is>
          <t>Operable</t>
        </is>
      </c>
      <c r="E10" s="33" t="inlineStr">
        <is>
          <t>All functionality can be operated without requiring fine motor pointer control — via a keyboard interface, which on mobile includes assistive input methods like Switch Access.</t>
        </is>
      </c>
      <c r="F10" s="36" t="inlineStr">
        <is>
          <t>Some blind users pair external keyboards or switch devices with their phone instead of touch gestures; every action must remain reachable that way.</t>
        </is>
      </c>
      <c r="G10" s="37" t="inlineStr">
        <is>
          <t>Included</t>
        </is>
      </c>
    </row>
    <row r="11">
      <c r="A11" s="10" t="inlineStr">
        <is>
          <t>2.4.3</t>
        </is>
      </c>
      <c r="B11" s="11" t="inlineStr">
        <is>
          <t>Focus Order</t>
        </is>
      </c>
      <c r="C11" s="13" t="inlineStr">
        <is>
          <t>A</t>
        </is>
      </c>
      <c r="D11" s="15" t="inlineStr">
        <is>
          <t>Operable</t>
        </is>
      </c>
      <c r="E11" s="17" t="inlineStr">
        <is>
          <t>Moving through interactive elements happens in an order that still makes sense and preserves how the interface operates.</t>
        </is>
      </c>
      <c r="F11" s="20" t="inlineStr">
        <is>
          <t>TalkBack/VoiceOver users navigate item-by-item; if focus order is scrambled, a form's fields may be announced out of a sensible sequence.</t>
        </is>
      </c>
      <c r="G11" s="21" t="inlineStr">
        <is>
          <t>Included</t>
        </is>
      </c>
    </row>
    <row r="12">
      <c r="A12" s="22" t="inlineStr">
        <is>
          <t>2.4.4</t>
        </is>
      </c>
      <c r="B12" s="25" t="inlineStr">
        <is>
          <t>Link Purpose (In Context)</t>
        </is>
      </c>
      <c r="C12" s="13" t="inlineStr">
        <is>
          <t>A</t>
        </is>
      </c>
      <c r="D12" s="29" t="inlineStr">
        <is>
          <t>Operable</t>
        </is>
      </c>
      <c r="E12" s="33" t="inlineStr">
        <is>
          <t>The purpose of a link or actionable control can be understood from its own text, or its text plus surrounding context — not just 'click here'.</t>
        </is>
      </c>
      <c r="F12" s="36" t="inlineStr">
        <is>
          <t>An icon-only quick-link with no purpose text is the mobile equivalent of a 'click here' link — the destination is a guess.</t>
        </is>
      </c>
      <c r="G12" s="37" t="inlineStr">
        <is>
          <t>Included</t>
        </is>
      </c>
    </row>
    <row r="13">
      <c r="A13" s="10" t="inlineStr">
        <is>
          <t>2.5.1</t>
        </is>
      </c>
      <c r="B13" s="11" t="inlineStr">
        <is>
          <t>Pointer Gestures</t>
        </is>
      </c>
      <c r="C13" s="13" t="inlineStr">
        <is>
          <t>A</t>
        </is>
      </c>
      <c r="D13" s="15" t="inlineStr">
        <is>
          <t>Operable</t>
        </is>
      </c>
      <c r="E13" s="17" t="inlineStr">
        <is>
          <t>Anything operated with a multi-finger or path-based gesture (e.g. a swipe pattern) can also be done with a single simple tap, unless the multi-point gesture is essential.</t>
        </is>
      </c>
      <c r="F13" s="20" t="inlineStr">
        <is>
          <t>Screen-reader users navigate with reserved swipe gestures of their own; app gestures that conflict with those, or demand precise paths, can lock a feature out entirely.</t>
        </is>
      </c>
      <c r="G13" s="21" t="inlineStr">
        <is>
          <t>Included</t>
        </is>
      </c>
    </row>
    <row r="14">
      <c r="A14" s="22" t="inlineStr">
        <is>
          <t>2.5.2</t>
        </is>
      </c>
      <c r="B14" s="25" t="inlineStr">
        <is>
          <t>Pointer Cancellation</t>
        </is>
      </c>
      <c r="C14" s="13" t="inlineStr">
        <is>
          <t>A</t>
        </is>
      </c>
      <c r="D14" s="29" t="inlineStr">
        <is>
          <t>Operable</t>
        </is>
      </c>
      <c r="E14" s="33" t="inlineStr">
        <is>
          <t>A function doesn't trigger the instant your finger touches the screen (the 'down' event) — it triggers on release, and can be dragged off to cancel.</t>
        </is>
      </c>
      <c r="F14" s="36" t="inlineStr">
        <is>
          <t>This gives a user who mis-taps (common when exploring by touch without sight) a chance to back out before an action fires.</t>
        </is>
      </c>
      <c r="G14" s="37" t="inlineStr">
        <is>
          <t>Included</t>
        </is>
      </c>
    </row>
    <row r="15">
      <c r="A15" s="10" t="inlineStr">
        <is>
          <t>2.5.3</t>
        </is>
      </c>
      <c r="B15" s="11" t="inlineStr">
        <is>
          <t>Label in Name</t>
        </is>
      </c>
      <c r="C15" s="13" t="inlineStr">
        <is>
          <t>A</t>
        </is>
      </c>
      <c r="D15" s="15" t="inlineStr">
        <is>
          <t>Operable</t>
        </is>
      </c>
      <c r="E15" s="17" t="inlineStr">
        <is>
          <t>If a control shows visible text, that same text is included in its accessible/programmatic name.</t>
        </is>
      </c>
      <c r="F15" s="20" t="inlineStr">
        <is>
          <t>Voice-control users (a common assistive method some blind users layer with a screen reader) say the visible label to activate a control; mismatched names break that.</t>
        </is>
      </c>
      <c r="G15" s="21" t="inlineStr">
        <is>
          <t>Included</t>
        </is>
      </c>
    </row>
    <row r="16">
      <c r="A16" s="22" t="inlineStr">
        <is>
          <t>3.3.1</t>
        </is>
      </c>
      <c r="B16" s="25" t="inlineStr">
        <is>
          <t>Error Identification</t>
        </is>
      </c>
      <c r="C16" s="13" t="inlineStr">
        <is>
          <t>A</t>
        </is>
      </c>
      <c r="D16" s="29" t="inlineStr">
        <is>
          <t>Understandable</t>
        </is>
      </c>
      <c r="E16" s="33" t="inlineStr">
        <is>
          <t>When the software detects an input error, it tells the user which field is wrong and describes the problem in text.</t>
        </is>
      </c>
      <c r="F16" s="36" t="inlineStr">
        <is>
          <t>A validation message that only appears as a red visual highlight is invisible to a screen-reader user, who may submit a form believing it succeeded.</t>
        </is>
      </c>
      <c r="G16" s="37" t="inlineStr">
        <is>
          <t>Included</t>
        </is>
      </c>
    </row>
    <row r="17">
      <c r="A17" s="10" t="inlineStr">
        <is>
          <t>3.3.2</t>
        </is>
      </c>
      <c r="B17" s="11" t="inlineStr">
        <is>
          <t>Labels or Instructions</t>
        </is>
      </c>
      <c r="C17" s="13" t="inlineStr">
        <is>
          <t>A</t>
        </is>
      </c>
      <c r="D17" s="15" t="inlineStr">
        <is>
          <t>Understandable</t>
        </is>
      </c>
      <c r="E17" s="17" t="inlineStr">
        <is>
          <t>Form fields that need user input have a persistent label or instruction, not just a hint that disappears once you start typing.</t>
        </is>
      </c>
      <c r="F17" s="20" t="inlineStr">
        <is>
          <t>A placeholder that vanishes on focus (e.g. 'Phone number' disappearing once typing starts) leaves a screen-reader user with no way to re-confirm which field they're in.</t>
        </is>
      </c>
      <c r="G17" s="21" t="inlineStr">
        <is>
          <t>Included</t>
        </is>
      </c>
    </row>
    <row r="18">
      <c r="A18" s="22" t="inlineStr">
        <is>
          <t>3.3.9</t>
        </is>
      </c>
      <c r="B18" s="25" t="inlineStr">
        <is>
          <t>Redundant Entry</t>
        </is>
      </c>
      <c r="C18" s="13" t="inlineStr">
        <is>
          <t>A</t>
        </is>
      </c>
      <c r="D18" s="29" t="inlineStr">
        <is>
          <t>Understandable</t>
        </is>
      </c>
      <c r="E18" s="33" t="inlineStr">
        <is>
          <t>Information already entered earlier in the same process is carried forward automatically or offered for re-selection, rather than making the user retype it.</t>
        </is>
      </c>
      <c r="F18" s="36" t="inlineStr">
        <is>
          <t>Re-typing a phone number or account number blind, digit by digit, multiplies the chance of a transcription error in a financial transfer.</t>
        </is>
      </c>
      <c r="G18" s="37" t="inlineStr">
        <is>
          <t>Included</t>
        </is>
      </c>
    </row>
    <row r="19">
      <c r="A19" s="10" t="inlineStr">
        <is>
          <t>4.1.2</t>
        </is>
      </c>
      <c r="B19" s="11" t="inlineStr">
        <is>
          <t>Name, Role, Value</t>
        </is>
      </c>
      <c r="C19" s="13" t="inlineStr">
        <is>
          <t>A</t>
        </is>
      </c>
      <c r="D19" s="15" t="inlineStr">
        <is>
          <t>Robust</t>
        </is>
      </c>
      <c r="E19" s="17" t="inlineStr">
        <is>
          <t>Every UI component exposes its name, its role (button, checkbox, slider...), and its current value/state to assistive technology, and reports when that state changes.</t>
        </is>
      </c>
      <c r="F19" s="20" t="inlineStr">
        <is>
          <t>This is the single most foundational criterion for screen-reader use: it's the difference between TalkBack saying 'Send money, button' and just 'button'.</t>
        </is>
      </c>
      <c r="G19" s="21" t="inlineStr">
        <is>
          <t>Included</t>
        </is>
      </c>
    </row>
    <row r="20">
      <c r="A20" s="22" t="inlineStr">
        <is>
          <t>1.4.3</t>
        </is>
      </c>
      <c r="B20" s="25" t="inlineStr">
        <is>
          <t>Contrast (Minimum)</t>
        </is>
      </c>
      <c r="C20" s="48" t="inlineStr">
        <is>
          <t>AA</t>
        </is>
      </c>
      <c r="D20" s="29" t="inlineStr">
        <is>
          <t>Perceivable</t>
        </is>
      </c>
      <c r="E20" s="33" t="inlineStr">
        <is>
          <t>Text has a contrast ratio of at least 4.5:1 against its background (3:1 for large text).</t>
        </is>
      </c>
      <c r="F20" s="36" t="inlineStr">
        <is>
          <t>Primarily a low-vision criterion, but low-vision users are commonly included in 'visually impaired' financial-inclusion research alongside blind users.</t>
        </is>
      </c>
      <c r="G20" s="37" t="inlineStr">
        <is>
          <t>Included</t>
        </is>
      </c>
    </row>
    <row r="21" ht="15.75" customHeight="1" s="78">
      <c r="A21" s="10" t="inlineStr">
        <is>
          <t>1.4.4</t>
        </is>
      </c>
      <c r="B21" s="11" t="inlineStr">
        <is>
          <t>Resize Text</t>
        </is>
      </c>
      <c r="C21" s="48" t="inlineStr">
        <is>
          <t>AA</t>
        </is>
      </c>
      <c r="D21" s="15" t="inlineStr">
        <is>
          <t>Perceivable</t>
        </is>
      </c>
      <c r="E21" s="17" t="inlineStr">
        <is>
          <t>Text can be scaled up to 200% (via the OS text-size setting, on native software) without breaking the layout or losing content.</t>
        </is>
      </c>
      <c r="F21" s="20" t="inlineStr">
        <is>
          <t>Supports low-vision users who need larger text rather than a screen reader; relevant if your research scope includes them.</t>
        </is>
      </c>
      <c r="G21" s="21" t="inlineStr">
        <is>
          <t>Included</t>
        </is>
      </c>
    </row>
    <row r="22" ht="15.75" customHeight="1" s="78">
      <c r="A22" s="22" t="inlineStr">
        <is>
          <t>1.4.10</t>
        </is>
      </c>
      <c r="B22" s="25" t="inlineStr">
        <is>
          <t>Reflow</t>
        </is>
      </c>
      <c r="C22" s="48" t="inlineStr">
        <is>
          <t>AA</t>
        </is>
      </c>
      <c r="D22" s="29" t="inlineStr">
        <is>
          <t>Perceivable</t>
        </is>
      </c>
      <c r="E22" s="33" t="inlineStr">
        <is>
          <t>Content reflows to fit a narrow viewport or zoomed-in view without needing to scroll in two directions.</t>
        </is>
      </c>
      <c r="F22" s="36" t="inlineStr">
        <is>
          <t>Lets a low-vision user zoom in heavily and still read a screen by scrolling only one way.</t>
        </is>
      </c>
      <c r="G22" s="37" t="inlineStr">
        <is>
          <t>Included</t>
        </is>
      </c>
    </row>
    <row r="23" ht="15.75" customHeight="1" s="78">
      <c r="A23" s="10" t="inlineStr">
        <is>
          <t>1.4.11</t>
        </is>
      </c>
      <c r="B23" s="11" t="inlineStr">
        <is>
          <t>Non-text Contrast</t>
        </is>
      </c>
      <c r="C23" s="48" t="inlineStr">
        <is>
          <t>AA</t>
        </is>
      </c>
      <c r="D23" s="15" t="inlineStr">
        <is>
          <t>Perceivable</t>
        </is>
      </c>
      <c r="E23" s="17" t="inlineStr">
        <is>
          <t>Icons, UI component borders, and other graphical objects needed to identify or operate the interface have at least 3:1 contrast against their background.</t>
        </is>
      </c>
      <c r="F23" s="20" t="inlineStr">
        <is>
          <t>A low-contrast icon can be functionally invisible to a low-vision user even though a screen reader would still announce it fine.</t>
        </is>
      </c>
      <c r="G23" s="21" t="inlineStr">
        <is>
          <t>Included</t>
        </is>
      </c>
    </row>
    <row r="24" ht="15.75" customHeight="1" s="78">
      <c r="A24" s="22" t="inlineStr">
        <is>
          <t>2.4.6</t>
        </is>
      </c>
      <c r="B24" s="25" t="inlineStr">
        <is>
          <t>Headings and Labels</t>
        </is>
      </c>
      <c r="C24" s="48" t="inlineStr">
        <is>
          <t>AA</t>
        </is>
      </c>
      <c r="D24" s="29" t="inlineStr">
        <is>
          <t>Operable</t>
        </is>
      </c>
      <c r="E24" s="33" t="inlineStr">
        <is>
          <t>Headings and labels describe the topic or purpose of the section or control they introduce.</t>
        </is>
      </c>
      <c r="F24" s="36" t="inlineStr">
        <is>
          <t>A vague screen title ('Screen 2') gives a screen-reader user no sense of where they are in the app; a clear one ('Confirm transfer') does.</t>
        </is>
      </c>
      <c r="G24" s="37" t="inlineStr">
        <is>
          <t>Included</t>
        </is>
      </c>
    </row>
    <row r="25" ht="15.75" customHeight="1" s="78">
      <c r="A25" s="10" t="inlineStr">
        <is>
          <t>2.4.7</t>
        </is>
      </c>
      <c r="B25" s="11" t="inlineStr">
        <is>
          <t>Focus Visible</t>
        </is>
      </c>
      <c r="C25" s="48" t="inlineStr">
        <is>
          <t>AA</t>
        </is>
      </c>
      <c r="D25" s="15" t="inlineStr">
        <is>
          <t>Operable</t>
        </is>
      </c>
      <c r="E25" s="17" t="inlineStr">
        <is>
          <t>Whichever element currently has keyboard/switch focus is visibly indicated on screen.</t>
        </is>
      </c>
      <c r="F25" s="20" t="inlineStr">
        <is>
          <t>Matters for the subset of blind users who navigate with a switch device or external keyboard rather than touch, and for sighted assistants helping a blind user.</t>
        </is>
      </c>
      <c r="G25" s="21" t="inlineStr">
        <is>
          <t>Included</t>
        </is>
      </c>
    </row>
    <row r="26" ht="15.75" customHeight="1" s="78">
      <c r="A26" s="22" t="inlineStr">
        <is>
          <t>2.5.8</t>
        </is>
      </c>
      <c r="B26" s="25" t="inlineStr">
        <is>
          <t>Target Size (Minimum)</t>
        </is>
      </c>
      <c r="C26" s="48" t="inlineStr">
        <is>
          <t>AA</t>
        </is>
      </c>
      <c r="D26" s="29" t="inlineStr">
        <is>
          <t>Operable</t>
        </is>
      </c>
      <c r="E26" s="33" t="inlineStr">
        <is>
          <t>Touch targets are at least 24x24 CSS pixels, unless the control is inline in text, an equivalent larger target exists nearby, or the size is essential.</t>
        </is>
      </c>
      <c r="F26" s="36" t="inlineStr">
        <is>
          <t>A tiny touch target is hard to hit precisely without sight; screen-reader gesture navigation reduces but doesn't eliminate this risk.</t>
        </is>
      </c>
      <c r="G26" s="37" t="inlineStr">
        <is>
          <t>Included</t>
        </is>
      </c>
    </row>
    <row r="27" ht="15.75" customHeight="1" s="78">
      <c r="A27" s="55" t="inlineStr">
        <is>
          <t>3.2.4</t>
        </is>
      </c>
      <c r="B27" s="56" t="inlineStr">
        <is>
          <t>Consistent Identification</t>
        </is>
      </c>
      <c r="C27" s="48" t="inlineStr">
        <is>
          <t>AA</t>
        </is>
      </c>
      <c r="D27" s="58" t="inlineStr">
        <is>
          <t>Understandable</t>
        </is>
      </c>
      <c r="E27" s="59" t="inlineStr">
        <is>
          <t>Components that do the same thing are labelled and presented the same way across a set of pages.</t>
        </is>
      </c>
      <c r="F27" s="60" t="inlineStr">
        <is>
          <t>Would matter for a blind user learning an app's patterns, but this criterion is defined in terms of a 'set of web pages' and both Section 508 and EN 301 549 (drawing on WCAG2ICT) state it does not apply to non-web software.</t>
        </is>
      </c>
      <c r="G27" s="61" t="inlineStr">
        <is>
          <t>Excluded - non-web software (Section 508 / EN 301 549)</t>
        </is>
      </c>
    </row>
    <row r="28" ht="15.75" customHeight="1" s="78">
      <c r="A28" s="22" t="inlineStr">
        <is>
          <t>3.3.3</t>
        </is>
      </c>
      <c r="B28" s="25" t="inlineStr">
        <is>
          <t>Error Suggestion</t>
        </is>
      </c>
      <c r="C28" s="48" t="inlineStr">
        <is>
          <t>AA</t>
        </is>
      </c>
      <c r="D28" s="29" t="inlineStr">
        <is>
          <t>Understandable</t>
        </is>
      </c>
      <c r="E28" s="33" t="inlineStr">
        <is>
          <t>If an input error is detected and a fix is known, the software suggests the correction.</t>
        </is>
      </c>
      <c r="F28" s="36" t="inlineStr">
        <is>
          <t>Turns 'this field is wrong' into 'this field is wrong, try this instead' — meaningfully faster to act on non-visually.</t>
        </is>
      </c>
      <c r="G28" s="37" t="inlineStr">
        <is>
          <t>Included</t>
        </is>
      </c>
    </row>
    <row r="29" ht="15.75" customHeight="1" s="78">
      <c r="A29" s="10" t="inlineStr">
        <is>
          <t>3.3.4</t>
        </is>
      </c>
      <c r="B29" s="11" t="inlineStr">
        <is>
          <t>Error Prevention (Legal, Financial, Data)</t>
        </is>
      </c>
      <c r="C29" s="48" t="inlineStr">
        <is>
          <t>AA</t>
        </is>
      </c>
      <c r="D29" s="15" t="inlineStr">
        <is>
          <t>Understandable</t>
        </is>
      </c>
      <c r="E29" s="17" t="inlineStr">
        <is>
          <t>For actions with legal or financial consequences, the user can reverse the action, has it checked for errors, or can review and confirm before it's finalised.</t>
        </is>
      </c>
      <c r="F29" s="20" t="inlineStr">
        <is>
          <t>This is the safeguard behind a 'Confirm Transfer' screen — but it only protects a blind user if that confirmation screen is itself readable by a screen reader.</t>
        </is>
      </c>
      <c r="G29" s="21" t="inlineStr">
        <is>
          <t>Included</t>
        </is>
      </c>
    </row>
    <row r="30" ht="15.75" customHeight="1" s="78">
      <c r="A30" s="22" t="inlineStr">
        <is>
          <t>3.3.7</t>
        </is>
      </c>
      <c r="B30" s="25" t="inlineStr">
        <is>
          <t>Accessible Authentication (Minimum)</t>
        </is>
      </c>
      <c r="C30" s="48" t="inlineStr">
        <is>
          <t>AA</t>
        </is>
      </c>
      <c r="D30" s="29" t="inlineStr">
        <is>
          <t>Understandable</t>
        </is>
      </c>
      <c r="E30" s="33" t="inlineStr">
        <is>
          <t>Logging in doesn't require a 'cognitive function test' (remembering a password, solving a puzzle) unless an accessible alternative or assistance mechanism is also offered.</t>
        </is>
      </c>
      <c r="F30" s="36" t="inlineStr">
        <is>
          <t>A visual-only PIN pad with no alternative forces every blind user through the same slow, exposed input method every time, with no accommodation.</t>
        </is>
      </c>
      <c r="G30" s="37" t="inlineStr">
        <is>
          <t>Included</t>
        </is>
      </c>
    </row>
    <row r="31" ht="15.75" customHeight="1" s="78">
      <c r="A31" s="10" t="inlineStr">
        <is>
          <t>4.1.3</t>
        </is>
      </c>
      <c r="B31" s="11" t="inlineStr">
        <is>
          <t>Status Messages</t>
        </is>
      </c>
      <c r="C31" s="48" t="inlineStr">
        <is>
          <t>AA</t>
        </is>
      </c>
      <c r="D31" s="15" t="inlineStr">
        <is>
          <t>Robust</t>
        </is>
      </c>
      <c r="E31" s="17" t="inlineStr">
        <is>
          <t>Status updates (success, error, progress) can be determined programmatically and announced to assistive technology without forcing focus to move.</t>
        </is>
      </c>
      <c r="F31" s="20" t="inlineStr">
        <is>
          <t>A 'Payment sent' toast that only flashes on screen for two seconds is easy for a screen-reader user to miss entirely, leaving them unsure if money moved.</t>
        </is>
      </c>
      <c r="G31" s="21" t="inlineStr">
        <is>
          <t>Included</t>
        </is>
      </c>
    </row>
    <row r="32" ht="15.75" customHeight="1" s="78">
      <c r="A32" s="22" t="inlineStr">
        <is>
          <t>2.2.1</t>
        </is>
      </c>
      <c r="B32" s="25" t="inlineStr">
        <is>
          <t>Timing Adjustable</t>
        </is>
      </c>
      <c r="C32" s="13" t="inlineStr">
        <is>
          <t>A</t>
        </is>
      </c>
      <c r="D32" s="29" t="inlineStr">
        <is>
          <t>Operable</t>
        </is>
      </c>
      <c r="E32" s="33" t="inlineStr">
        <is>
          <t>For any time limit the software sets, the user can turn it off, extend it, or adjust it (with limited exceptions).</t>
        </is>
      </c>
      <c r="F32" s="36" t="inlineStr">
        <is>
          <t>Screen-reader navigation is slower per-field than sighted use; a fixed OTP or session countdown timed for sighted speed can time out a blind user mid-transaction.</t>
        </is>
      </c>
      <c r="G32" s="37" t="inlineStr">
        <is>
          <t>Included</t>
        </is>
      </c>
    </row>
    <row r="33" ht="15.75" customHeight="1" s="78">
      <c r="A33" s="10" t="inlineStr">
        <is>
          <t>2.2.6</t>
        </is>
      </c>
      <c r="B33" s="11" t="inlineStr">
        <is>
          <t>Timeouts</t>
        </is>
      </c>
      <c r="C33" s="50" t="inlineStr">
        <is>
          <t>AAA</t>
        </is>
      </c>
      <c r="D33" s="15" t="inlineStr">
        <is>
          <t>Operable</t>
        </is>
      </c>
      <c r="E33" s="17" t="inlineStr">
        <is>
          <t>Users are warned about any inactivity timeout that could cause data loss, unless their data is preserved for a long period regardless.</t>
        </is>
      </c>
      <c r="F33" s="20" t="inlineStr">
        <is>
          <t>Prevents a blind user from silently losing a half-completed transfer to a session timeout with no warning.</t>
        </is>
      </c>
      <c r="G33" s="21" t="inlineStr">
        <is>
          <t>Included</t>
        </is>
      </c>
    </row>
    <row r="34" ht="15.75" customHeight="1" s="78">
      <c r="A34" s="22" t="inlineStr">
        <is>
          <t>2.5.5</t>
        </is>
      </c>
      <c r="B34" s="25" t="inlineStr">
        <is>
          <t>Target Size (Enhanced)</t>
        </is>
      </c>
      <c r="C34" s="50" t="inlineStr">
        <is>
          <t>AAA</t>
        </is>
      </c>
      <c r="D34" s="29" t="inlineStr">
        <is>
          <t>Operable</t>
        </is>
      </c>
      <c r="E34" s="33" t="inlineStr">
        <is>
          <t>A stricter version of 2.5.8: touch targets are at least 44x44 CSS pixels.</t>
        </is>
      </c>
      <c r="F34" s="36" t="inlineStr">
        <is>
          <t>Same rationale as 2.5.8, at a higher bar; also matches Apple's own Human Interface Guidelines minimum.</t>
        </is>
      </c>
      <c r="G34" s="37" t="inlineStr">
        <is>
          <t>Included</t>
        </is>
      </c>
    </row>
    <row r="35" ht="15.75" customHeight="1" s="78">
      <c r="A35" s="10" t="inlineStr">
        <is>
          <t>3.3.6</t>
        </is>
      </c>
      <c r="B35" s="11" t="inlineStr">
        <is>
          <t>Error Prevention (All)</t>
        </is>
      </c>
      <c r="C35" s="50" t="inlineStr">
        <is>
          <t>AAA</t>
        </is>
      </c>
      <c r="D35" s="15" t="inlineStr">
        <is>
          <t>Understandable</t>
        </is>
      </c>
      <c r="E35" s="17" t="inlineStr">
        <is>
          <t>The same reversibility/checking/confirmation protection as 3.3.4, extended to every submission, not only legal/financial/data ones.</t>
        </is>
      </c>
      <c r="F35" s="20" t="inlineStr">
        <is>
          <t>Extends the safety net in 3.3.4 to lower-stakes actions too (e.g. changing a saved beneficiary), which still matter if entered wrong.</t>
        </is>
      </c>
      <c r="G35" s="21" t="inlineStr">
        <is>
          <t>Included</t>
        </is>
      </c>
    </row>
    <row r="36" ht="15.75" customHeight="1" s="78">
      <c r="A36" s="22" t="inlineStr">
        <is>
          <t>3.3.8</t>
        </is>
      </c>
      <c r="B36" s="25" t="inlineStr">
        <is>
          <t>Accessible Authentication (Enhanced)</t>
        </is>
      </c>
      <c r="C36" s="50" t="inlineStr">
        <is>
          <t>AAA</t>
        </is>
      </c>
      <c r="D36" s="29" t="inlineStr">
        <is>
          <t>Understandable</t>
        </is>
      </c>
      <c r="E36" s="33" t="inlineStr">
        <is>
          <t>The strictest version of accessible authentication: no cognitive function test at all, without even the exceptions 3.3.7 allows (like an object-recognition test).</t>
        </is>
      </c>
      <c r="F36" s="36" t="inlineStr">
        <is>
          <t>The gold-standard version of the login-privacy fix this app needs — e.g. biometric-first login with no visually-broadcast fallback required.</t>
        </is>
      </c>
      <c r="G36" s="37" t="inlineStr">
        <is>
          <t>Included</t>
        </is>
      </c>
    </row>
    <row r="37" ht="15.75" customHeight="1" s="78">
      <c r="A37" s="10" t="inlineStr">
        <is>
          <t>1.3.5</t>
        </is>
      </c>
      <c r="B37" s="11" t="inlineStr">
        <is>
          <t>Identify Input Purpose</t>
        </is>
      </c>
      <c r="C37" s="48" t="inlineStr">
        <is>
          <t>AA</t>
        </is>
      </c>
      <c r="D37" s="15" t="inlineStr">
        <is>
          <t>Perceivable</t>
        </is>
      </c>
      <c r="E37" s="17" t="inlineStr">
        <is>
          <t>Form fields collecting common information (phone number, name, amount) expose their purpose in a way the platform recognises, so OS-level autofill can offer to complete them.</t>
        </is>
      </c>
      <c r="F37" s="20" t="inlineStr">
        <is>
          <t>Autofill means a blind user doesn't have to manually type and re-check a full phone number or account number character by character — real time and error savings on financial forms.</t>
        </is>
      </c>
      <c r="G37" s="21" t="inlineStr">
        <is>
          <t>Included</t>
        </is>
      </c>
    </row>
    <row r="38" ht="15.75" customHeight="1" s="78">
      <c r="A38" s="22" t="inlineStr">
        <is>
          <t>3.2.1</t>
        </is>
      </c>
      <c r="B38" s="25" t="inlineStr">
        <is>
          <t>On Focus</t>
        </is>
      </c>
      <c r="C38" s="13" t="inlineStr">
        <is>
          <t>A</t>
        </is>
      </c>
      <c r="D38" s="29" t="inlineStr">
        <is>
          <t>Operable</t>
        </is>
      </c>
      <c r="E38" s="33" t="inlineStr">
        <is>
          <t>Simply landing on an element (without activating it) never triggers a change of context, like a navigation or submission.</t>
        </is>
      </c>
      <c r="F38" s="36" t="inlineStr">
        <is>
          <t>A screen reader moves focus constantly while reading a screen; if that alone could submit a transfer or jump screens, exploring the app safely becomes impossible.</t>
        </is>
      </c>
      <c r="G38" s="37" t="inlineStr">
        <is>
          <t>Included</t>
        </is>
      </c>
    </row>
    <row r="39" ht="15.75" customHeight="1" s="78">
      <c r="A39" s="10" t="inlineStr">
        <is>
          <t>3.2.2</t>
        </is>
      </c>
      <c r="B39" s="11" t="inlineStr">
        <is>
          <t>On Input</t>
        </is>
      </c>
      <c r="C39" s="13" t="inlineStr">
        <is>
          <t>A</t>
        </is>
      </c>
      <c r="D39" s="15" t="inlineStr">
        <is>
          <t>Operable</t>
        </is>
      </c>
      <c r="E39" s="17" t="inlineStr">
        <is>
          <t>Changing a form field's value never triggers an unexpected change of context unless the user is told in advance that it will.</t>
        </is>
      </c>
      <c r="F39" s="20" t="inlineStr">
        <is>
          <t>Selecting a network or beneficiary type should update that field only — not silently submit or jump forward — so a blind user keeps control of when a transaction actually proceeds.</t>
        </is>
      </c>
      <c r="G39" s="21" t="inlineStr">
        <is>
          <t>Included</t>
        </is>
      </c>
    </row>
    <row r="40" ht="15.75" customHeight="1" s="78">
      <c r="A40" s="55" t="inlineStr">
        <is>
          <t>2.4.1</t>
        </is>
      </c>
      <c r="B40" s="56" t="inlineStr">
        <is>
          <t>Bypass Blocks</t>
        </is>
      </c>
      <c r="C40" s="13" t="inlineStr">
        <is>
          <t>A</t>
        </is>
      </c>
      <c r="D40" s="58" t="inlineStr">
        <is>
          <t>Operable</t>
        </is>
      </c>
      <c r="E40" s="59" t="inlineStr">
        <is>
          <t>A mechanism lets users skip past content that repeats on multiple pages (e.g. a 'skip navigation' link) to reach the main content directly.</t>
        </is>
      </c>
      <c r="F40" s="60" t="inlineStr">
        <is>
          <t>Written around repeated web navigation menus; native software's fixed screen structure doesn't have the same repeating-block problem.</t>
        </is>
      </c>
      <c r="G40" s="61" t="inlineStr">
        <is>
          <t>Excluded - non-web software (Section 508 / EN 301 549)</t>
        </is>
      </c>
    </row>
    <row r="41" ht="15.75" customHeight="1" s="78">
      <c r="A41" s="55" t="inlineStr">
        <is>
          <t>2.4.5</t>
        </is>
      </c>
      <c r="B41" s="56" t="inlineStr">
        <is>
          <t>Multiple Ways</t>
        </is>
      </c>
      <c r="C41" s="48" t="inlineStr">
        <is>
          <t>AA</t>
        </is>
      </c>
      <c r="D41" s="58" t="inlineStr">
        <is>
          <t>Operable</t>
        </is>
      </c>
      <c r="E41" s="59" t="inlineStr">
        <is>
          <t>More than one way exists to locate a page within a set of pages (e.g. search plus a site map).</t>
        </is>
      </c>
      <c r="F41" s="60" t="inlineStr">
        <is>
          <t>Defined in terms of navigating a set of web pages; doesn't map cleanly onto a single native app's fixed screen structure.</t>
        </is>
      </c>
      <c r="G41" s="61" t="inlineStr">
        <is>
          <t>Excluded - non-web software (Section 508 / EN 301 549)</t>
        </is>
      </c>
    </row>
    <row r="42" ht="15.75" customHeight="1" s="78">
      <c r="A42" s="55" t="inlineStr">
        <is>
          <t>3.2.3</t>
        </is>
      </c>
      <c r="B42" s="56" t="inlineStr">
        <is>
          <t>Consistent Navigation</t>
        </is>
      </c>
      <c r="C42" s="48" t="inlineStr">
        <is>
          <t>AA</t>
        </is>
      </c>
      <c r="D42" s="58" t="inlineStr">
        <is>
          <t>Understandable</t>
        </is>
      </c>
      <c r="E42" s="59" t="inlineStr">
        <is>
          <t>Navigational mechanisms that repeat across multiple pages appear in the same relative order each time.</t>
        </is>
      </c>
      <c r="F42" s="60" t="inlineStr">
        <is>
          <t>Also defined in terms of a 'set of web pages'; both Section 508 and EN 301 549 exclude it for non-web software.</t>
        </is>
      </c>
      <c r="G42" s="61" t="inlineStr">
        <is>
          <t>Excluded - non-web software (Section 508 / EN 301 549)</t>
        </is>
      </c>
    </row>
    <row r="43" ht="15.75" customHeight="1" s="78">
      <c r="A43" s="55" t="inlineStr">
        <is>
          <t>2.4.2</t>
        </is>
      </c>
      <c r="B43" s="56" t="inlineStr">
        <is>
          <t>Page Titled</t>
        </is>
      </c>
      <c r="C43" s="13" t="inlineStr">
        <is>
          <t>A</t>
        </is>
      </c>
      <c r="D43" s="58" t="inlineStr">
        <is>
          <t>Operable</t>
        </is>
      </c>
      <c r="E43" s="59" t="inlineStr">
        <is>
          <t>Web pages have a title that describes topic or purpose.</t>
        </is>
      </c>
      <c r="F43" s="60" t="inlineStr">
        <is>
          <t>EN 301 549 (though not Section 508) excludes this specifically for non-web software, since native software has no browser-tab-style page title. Equivalent screen-naming is covered by 2.4.6 Headings and Labels, which is included above.</t>
        </is>
      </c>
      <c r="G43" s="61" t="inlineStr">
        <is>
          <t>Excluded - non-web software (EN 301 549 only)</t>
        </is>
      </c>
    </row>
    <row r="44" ht="15.75" customHeight="1" s="78">
      <c r="A44" s="55" t="inlineStr">
        <is>
          <t>3.1.2</t>
        </is>
      </c>
      <c r="B44" s="56" t="inlineStr">
        <is>
          <t>Language of Parts</t>
        </is>
      </c>
      <c r="C44" s="48" t="inlineStr">
        <is>
          <t>AA</t>
        </is>
      </c>
      <c r="D44" s="58" t="inlineStr">
        <is>
          <t>Understandable</t>
        </is>
      </c>
      <c r="E44" s="59" t="inlineStr">
        <is>
          <t>The human language of each passage or phrase can be programmatically determined, when it differs from the software's default language.</t>
        </is>
      </c>
      <c r="F44" s="60" t="inlineStr">
        <is>
          <t>EN 301 549 excludes this for non-web software. Worth a manual look regardless in a multilingual context (e.g. English UI with Kinyarwanda biller names), even though it isn't scored here.</t>
        </is>
      </c>
      <c r="G44" s="61" t="inlineStr">
        <is>
          <t>Excluded - non-web software (EN 301 549 only)</t>
        </is>
      </c>
    </row>
    <row r="45" ht="15.75" customHeight="1" s="78"/>
    <row r="46" ht="15.75" customHeight="1" s="78"/>
    <row r="47" ht="15.75" customHeight="1" s="78"/>
    <row r="48" ht="15.75" customHeight="1" s="78"/>
    <row r="49" ht="15.75" customHeight="1" s="78"/>
    <row r="50" ht="15.75" customHeight="1" s="78"/>
    <row r="51" ht="15.75" customHeight="1" s="78"/>
    <row r="52" ht="15.75" customHeight="1" s="78"/>
    <row r="53" ht="15.75" customHeight="1" s="78"/>
    <row r="54" ht="15.75" customHeight="1" s="78"/>
    <row r="55" ht="15.75" customHeight="1" s="78"/>
    <row r="56" ht="15.75" customHeight="1" s="78"/>
    <row r="57" ht="15.75" customHeight="1" s="78"/>
    <row r="58" ht="15.75" customHeight="1" s="78"/>
    <row r="59" ht="15.75" customHeight="1" s="78"/>
    <row r="60" ht="15.75" customHeight="1" s="78"/>
    <row r="61" ht="15.75" customHeight="1" s="78"/>
    <row r="62" ht="15.75" customHeight="1" s="78"/>
    <row r="63" ht="15.75" customHeight="1" s="78"/>
    <row r="64" ht="15.75" customHeight="1" s="78"/>
    <row r="65" ht="15.75" customHeight="1" s="78"/>
    <row r="66" ht="15.75" customHeight="1" s="78"/>
    <row r="67" ht="15.75" customHeight="1" s="78"/>
    <row r="68" ht="15.75" customHeight="1" s="78"/>
    <row r="69" ht="15.75" customHeight="1" s="78"/>
    <row r="70" ht="15.75" customHeight="1" s="78"/>
    <row r="71" ht="15.75" customHeight="1" s="78"/>
    <row r="72" ht="15.75" customHeight="1" s="78"/>
    <row r="73" ht="15.75" customHeight="1" s="78"/>
    <row r="74" ht="15.75" customHeight="1" s="78"/>
    <row r="75" ht="15.75" customHeight="1" s="78"/>
    <row r="76" ht="15.75" customHeight="1" s="78"/>
    <row r="77" ht="15.75" customHeight="1" s="78"/>
    <row r="78" ht="15.75" customHeight="1" s="78"/>
    <row r="79" ht="15.75" customHeight="1" s="78"/>
    <row r="80" ht="15.75" customHeight="1" s="78"/>
    <row r="81" ht="15.75" customHeight="1" s="78"/>
    <row r="82" ht="15.75" customHeight="1" s="78"/>
    <row r="83" ht="15.75" customHeight="1" s="78"/>
    <row r="84" ht="15.75" customHeight="1" s="78"/>
    <row r="85" ht="15.75" customHeight="1" s="78"/>
    <row r="86" ht="15.75" customHeight="1" s="78"/>
    <row r="87" ht="15.75" customHeight="1" s="78"/>
    <row r="88" ht="15.75" customHeight="1" s="78"/>
    <row r="89" ht="15.75" customHeight="1" s="78"/>
    <row r="90" ht="15.75" customHeight="1" s="78"/>
    <row r="91" ht="15.75" customHeight="1" s="78"/>
    <row r="92" ht="15.75" customHeight="1" s="78"/>
    <row r="93" ht="15.75" customHeight="1" s="78"/>
    <row r="94" ht="15.75" customHeight="1" s="78"/>
    <row r="95" ht="15.75" customHeight="1" s="78"/>
    <row r="96" ht="15.75" customHeight="1" s="78"/>
    <row r="97" ht="15.75" customHeight="1" s="78"/>
    <row r="98" ht="15.75" customHeight="1" s="78"/>
    <row r="99" ht="15.75" customHeight="1" s="78"/>
    <row r="100" ht="15.75" customHeight="1" s="78"/>
    <row r="101" ht="15.75" customHeight="1" s="78"/>
    <row r="102" ht="15.75" customHeight="1" s="78"/>
    <row r="103" ht="15.75" customHeight="1" s="78"/>
    <row r="104" ht="15.75" customHeight="1" s="78"/>
    <row r="105" ht="15.75" customHeight="1" s="78"/>
    <row r="106" ht="15.75" customHeight="1" s="78"/>
    <row r="107" ht="15.75" customHeight="1" s="78"/>
    <row r="108" ht="15.75" customHeight="1" s="78"/>
    <row r="109" ht="15.75" customHeight="1" s="78"/>
    <row r="110" ht="15.75" customHeight="1" s="78"/>
    <row r="111" ht="15.75" customHeight="1" s="78"/>
    <row r="112" ht="15.75" customHeight="1" s="78"/>
    <row r="113" ht="15.75" customHeight="1" s="78"/>
    <row r="114" ht="15.75" customHeight="1" s="78"/>
    <row r="115" ht="15.75" customHeight="1" s="78"/>
    <row r="116" ht="15.75" customHeight="1" s="78"/>
    <row r="117" ht="15.75" customHeight="1" s="78"/>
    <row r="118" ht="15.75" customHeight="1" s="78"/>
    <row r="119" ht="15.75" customHeight="1" s="78"/>
    <row r="120" ht="15.75" customHeight="1" s="78"/>
    <row r="121" ht="15.75" customHeight="1" s="78"/>
    <row r="122" ht="15.75" customHeight="1" s="78"/>
    <row r="123" ht="15.75" customHeight="1" s="78"/>
    <row r="124" ht="15.75" customHeight="1" s="78"/>
    <row r="125" ht="15.75" customHeight="1" s="78"/>
    <row r="126" ht="15.75" customHeight="1" s="78"/>
    <row r="127" ht="15.75" customHeight="1" s="78"/>
    <row r="128" ht="15.75" customHeight="1" s="78"/>
    <row r="129" ht="15.75" customHeight="1" s="78"/>
    <row r="130" ht="15.75" customHeight="1" s="78"/>
    <row r="131" ht="15.75" customHeight="1" s="78"/>
    <row r="132" ht="15.75" customHeight="1" s="78"/>
    <row r="133" ht="15.75" customHeight="1" s="78"/>
    <row r="134" ht="15.75" customHeight="1" s="78"/>
    <row r="135" ht="15.75" customHeight="1" s="78"/>
    <row r="136" ht="15.75" customHeight="1" s="78"/>
    <row r="137" ht="15.75" customHeight="1" s="78"/>
    <row r="138" ht="15.75" customHeight="1" s="78"/>
    <row r="139" ht="15.75" customHeight="1" s="78"/>
    <row r="140" ht="15.75" customHeight="1" s="78"/>
    <row r="141" ht="15.75" customHeight="1" s="78"/>
    <row r="142" ht="15.75" customHeight="1" s="78"/>
    <row r="143" ht="15.75" customHeight="1" s="78"/>
    <row r="144" ht="15.75" customHeight="1" s="78"/>
    <row r="145" ht="15.75" customHeight="1" s="78"/>
    <row r="146" ht="15.75" customHeight="1" s="78"/>
    <row r="147" ht="15.75" customHeight="1" s="78"/>
    <row r="148" ht="15.75" customHeight="1" s="78"/>
    <row r="149" ht="15.75" customHeight="1" s="78"/>
    <row r="150" ht="15.75" customHeight="1" s="78"/>
    <row r="151" ht="15.75" customHeight="1" s="78"/>
    <row r="152" ht="15.75" customHeight="1" s="78"/>
    <row r="153" ht="15.75" customHeight="1" s="78"/>
    <row r="154" ht="15.75" customHeight="1" s="78"/>
    <row r="155" ht="15.75" customHeight="1" s="78"/>
    <row r="156" ht="15.75" customHeight="1" s="78"/>
    <row r="157" ht="15.75" customHeight="1" s="78"/>
    <row r="158" ht="15.75" customHeight="1" s="78"/>
    <row r="159" ht="15.75" customHeight="1" s="78"/>
    <row r="160" ht="15.75" customHeight="1" s="78"/>
    <row r="161" ht="15.75" customHeight="1" s="78"/>
    <row r="162" ht="15.75" customHeight="1" s="78"/>
    <row r="163" ht="15.75" customHeight="1" s="78"/>
    <row r="164" ht="15.75" customHeight="1" s="78"/>
    <row r="165" ht="15.75" customHeight="1" s="78"/>
    <row r="166" ht="15.75" customHeight="1" s="78"/>
    <row r="167" ht="15.75" customHeight="1" s="78"/>
    <row r="168" ht="15.75" customHeight="1" s="78"/>
    <row r="169" ht="15.75" customHeight="1" s="78"/>
    <row r="170" ht="15.75" customHeight="1" s="78"/>
    <row r="171" ht="15.75" customHeight="1" s="78"/>
    <row r="172" ht="15.75" customHeight="1" s="78"/>
    <row r="173" ht="15.75" customHeight="1" s="78"/>
    <row r="174" ht="15.75" customHeight="1" s="78"/>
    <row r="175" ht="15.75" customHeight="1" s="78"/>
    <row r="176" ht="15.75" customHeight="1" s="78"/>
    <row r="177" ht="15.75" customHeight="1" s="78"/>
    <row r="178" ht="15.75" customHeight="1" s="78"/>
    <row r="179" ht="15.75" customHeight="1" s="78"/>
    <row r="180" ht="15.75" customHeight="1" s="78"/>
    <row r="181" ht="15.75" customHeight="1" s="78"/>
    <row r="182" ht="15.75" customHeight="1" s="78"/>
    <row r="183" ht="15.75" customHeight="1" s="78"/>
    <row r="184" ht="15.75" customHeight="1" s="78"/>
    <row r="185" ht="15.75" customHeight="1" s="78"/>
    <row r="186" ht="15.75" customHeight="1" s="78"/>
    <row r="187" ht="15.75" customHeight="1" s="78"/>
    <row r="188" ht="15.75" customHeight="1" s="78"/>
    <row r="189" ht="15.75" customHeight="1" s="78"/>
    <row r="190" ht="15.75" customHeight="1" s="78"/>
    <row r="191" ht="15.75" customHeight="1" s="78"/>
    <row r="192" ht="15.75" customHeight="1" s="78"/>
    <row r="193" ht="15.75" customHeight="1" s="78"/>
    <row r="194" ht="15.75" customHeight="1" s="78"/>
    <row r="195" ht="15.75" customHeight="1" s="78"/>
    <row r="196" ht="15.75" customHeight="1" s="78"/>
    <row r="197" ht="15.75" customHeight="1" s="78"/>
    <row r="198" ht="15.75" customHeight="1" s="78"/>
    <row r="199" ht="15.75" customHeight="1" s="78"/>
    <row r="200" ht="15.75" customHeight="1" s="78"/>
    <row r="201" ht="15.75" customHeight="1" s="78"/>
    <row r="202" ht="15.75" customHeight="1" s="78"/>
    <row r="203" ht="15.75" customHeight="1" s="78"/>
    <row r="204" ht="15.75" customHeight="1" s="78"/>
    <row r="205" ht="15.75" customHeight="1" s="78"/>
    <row r="206" ht="15.75" customHeight="1" s="78"/>
    <row r="207" ht="15.75" customHeight="1" s="78"/>
    <row r="208" ht="15.75" customHeight="1" s="78"/>
    <row r="209" ht="15.75" customHeight="1" s="78"/>
    <row r="210" ht="15.75" customHeight="1" s="78"/>
    <row r="211" ht="15.75" customHeight="1" s="78"/>
    <row r="212" ht="15.75" customHeight="1" s="78"/>
    <row r="213" ht="15.75" customHeight="1" s="78"/>
    <row r="214" ht="15.75" customHeight="1" s="78"/>
    <row r="215" ht="15.75" customHeight="1" s="78"/>
    <row r="216" ht="15.75" customHeight="1" s="78"/>
    <row r="217" ht="15.75" customHeight="1" s="78"/>
    <row r="218" ht="15.75" customHeight="1" s="78"/>
    <row r="219" ht="15.75" customHeight="1" s="78"/>
    <row r="220" ht="15.75" customHeight="1" s="78"/>
    <row r="221" ht="15.75" customHeight="1" s="78"/>
    <row r="222" ht="15.75" customHeight="1" s="78"/>
    <row r="223" ht="15.75" customHeight="1" s="78"/>
    <row r="224" ht="15.75" customHeight="1" s="78"/>
    <row r="225" ht="15.75" customHeight="1" s="78"/>
    <row r="226" ht="15.75" customHeight="1" s="78"/>
    <row r="227" ht="15.75" customHeight="1" s="78"/>
    <row r="228" ht="15.75" customHeight="1" s="78"/>
    <row r="229" ht="15.75" customHeight="1" s="78"/>
    <row r="230" ht="15.75" customHeight="1" s="78"/>
    <row r="231" ht="15.75" customHeight="1" s="78"/>
    <row r="232" ht="15.75" customHeight="1" s="78"/>
    <row r="233" ht="15.75" customHeight="1" s="78"/>
    <row r="234" ht="15.75" customHeight="1" s="78"/>
    <row r="235" ht="15.75" customHeight="1" s="78"/>
    <row r="236" ht="15.75" customHeight="1" s="78"/>
    <row r="237" ht="15.75" customHeight="1" s="78"/>
    <row r="238" ht="15.75" customHeight="1" s="78"/>
    <row r="239" ht="15.75" customHeight="1" s="78"/>
    <row r="240" ht="15.75" customHeight="1" s="78"/>
    <row r="241" ht="15.75" customHeight="1" s="78"/>
    <row r="242" ht="15.75" customHeight="1" s="78"/>
    <row r="243" ht="15.75" customHeight="1" s="78"/>
    <row r="244" ht="15.75" customHeight="1" s="78"/>
    <row r="245" ht="15.75" customHeight="1" s="78"/>
    <row r="246" ht="15.75" customHeight="1" s="78"/>
    <row r="247" ht="15.75" customHeight="1" s="78"/>
    <row r="248" ht="15.75" customHeight="1" s="78"/>
    <row r="249" ht="15.75" customHeight="1" s="78"/>
    <row r="250" ht="15.75" customHeight="1" s="78"/>
    <row r="251" ht="15.75" customHeight="1" s="78"/>
    <row r="252" ht="15.75" customHeight="1" s="78"/>
    <row r="253" ht="15.75" customHeight="1" s="78"/>
    <row r="254" ht="15.75" customHeight="1" s="78"/>
    <row r="255" ht="15.75" customHeight="1" s="78"/>
    <row r="256" ht="15.75" customHeight="1" s="78"/>
    <row r="257" ht="15.75" customHeight="1" s="78"/>
    <row r="258" ht="15.75" customHeight="1" s="78"/>
    <row r="259" ht="15.75" customHeight="1" s="78"/>
    <row r="260" ht="15.75" customHeight="1" s="78"/>
    <row r="261" ht="15.75" customHeight="1" s="78"/>
    <row r="262" ht="15.75" customHeight="1" s="78"/>
    <row r="263" ht="15.75" customHeight="1" s="78"/>
    <row r="264" ht="15.75" customHeight="1" s="78"/>
    <row r="265" ht="15.75" customHeight="1" s="78"/>
    <row r="266" ht="15.75" customHeight="1" s="78"/>
    <row r="267" ht="15.75" customHeight="1" s="78"/>
    <row r="268" ht="15.75" customHeight="1" s="78"/>
    <row r="269" ht="15.75" customHeight="1" s="78"/>
    <row r="270" ht="15.75" customHeight="1" s="78"/>
    <row r="271" ht="15.75" customHeight="1" s="78"/>
    <row r="272" ht="15.75" customHeight="1" s="78"/>
    <row r="273" ht="15.75" customHeight="1" s="78"/>
    <row r="274" ht="15.75" customHeight="1" s="78"/>
    <row r="275" ht="15.75" customHeight="1" s="78"/>
    <row r="276" ht="15.75" customHeight="1" s="78"/>
    <row r="277" ht="15.75" customHeight="1" s="78"/>
    <row r="278" ht="15.75" customHeight="1" s="78"/>
    <row r="279" ht="15.75" customHeight="1" s="78"/>
    <row r="280" ht="15.75" customHeight="1" s="78"/>
    <row r="281" ht="15.75" customHeight="1" s="78"/>
    <row r="282" ht="15.75" customHeight="1" s="78"/>
    <row r="283" ht="15.75" customHeight="1" s="78"/>
    <row r="284" ht="15.75" customHeight="1" s="78"/>
    <row r="285" ht="15.75" customHeight="1" s="78"/>
    <row r="286" ht="15.75" customHeight="1" s="78"/>
    <row r="287" ht="15.75" customHeight="1" s="78"/>
    <row r="288" ht="15.75" customHeight="1" s="78"/>
    <row r="289" ht="15.75" customHeight="1" s="78"/>
    <row r="290" ht="15.75" customHeight="1" s="78"/>
    <row r="291" ht="15.75" customHeight="1" s="78"/>
    <row r="292" ht="15.75" customHeight="1" s="78"/>
    <row r="293" ht="15.75" customHeight="1" s="78"/>
    <row r="294" ht="15.75" customHeight="1" s="78"/>
    <row r="295" ht="15.75" customHeight="1" s="78"/>
    <row r="296" ht="15.75" customHeight="1" s="78"/>
    <row r="297" ht="15.75" customHeight="1" s="78"/>
    <row r="298" ht="15.75" customHeight="1" s="78"/>
    <row r="299" ht="15.75" customHeight="1" s="78"/>
    <row r="300" ht="15.75" customHeight="1" s="78"/>
    <row r="301" ht="15.75" customHeight="1" s="78"/>
    <row r="302" ht="15.75" customHeight="1" s="78"/>
    <row r="303" ht="15.75" customHeight="1" s="78"/>
    <row r="304" ht="15.75" customHeight="1" s="78"/>
    <row r="305" ht="15.75" customHeight="1" s="78"/>
    <row r="306" ht="15.75" customHeight="1" s="78"/>
    <row r="307" ht="15.75" customHeight="1" s="78"/>
    <row r="308" ht="15.75" customHeight="1" s="78"/>
    <row r="309" ht="15.75" customHeight="1" s="78"/>
    <row r="310" ht="15.75" customHeight="1" s="78"/>
    <row r="311" ht="15.75" customHeight="1" s="78"/>
    <row r="312" ht="15.75" customHeight="1" s="78"/>
    <row r="313" ht="15.75" customHeight="1" s="78"/>
    <row r="314" ht="15.75" customHeight="1" s="78"/>
    <row r="315" ht="15.75" customHeight="1" s="78"/>
    <row r="316" ht="15.75" customHeight="1" s="78"/>
    <row r="317" ht="15.75" customHeight="1" s="78"/>
    <row r="318" ht="15.75" customHeight="1" s="78"/>
    <row r="319" ht="15.75" customHeight="1" s="78"/>
    <row r="320" ht="15.75" customHeight="1" s="78"/>
    <row r="321" ht="15.75" customHeight="1" s="78"/>
    <row r="322" ht="15.75" customHeight="1" s="78"/>
    <row r="323" ht="15.75" customHeight="1" s="78"/>
    <row r="324" ht="15.75" customHeight="1" s="78"/>
    <row r="325" ht="15.75" customHeight="1" s="78"/>
    <row r="326" ht="15.75" customHeight="1" s="78"/>
    <row r="327" ht="15.75" customHeight="1" s="78"/>
    <row r="328" ht="15.75" customHeight="1" s="78"/>
    <row r="329" ht="15.75" customHeight="1" s="78"/>
    <row r="330" ht="15.75" customHeight="1" s="78"/>
    <row r="331" ht="15.75" customHeight="1" s="78"/>
    <row r="332" ht="15.75" customHeight="1" s="78"/>
    <row r="333" ht="15.75" customHeight="1" s="78"/>
    <row r="334" ht="15.75" customHeight="1" s="78"/>
    <row r="335" ht="15.75" customHeight="1" s="78"/>
    <row r="336" ht="15.75" customHeight="1" s="78"/>
    <row r="337" ht="15.75" customHeight="1" s="78"/>
    <row r="338" ht="15.75" customHeight="1" s="78"/>
    <row r="339" ht="15.75" customHeight="1" s="78"/>
    <row r="340" ht="15.75" customHeight="1" s="78"/>
    <row r="341" ht="15.75" customHeight="1" s="78"/>
    <row r="342" ht="15.75" customHeight="1" s="78"/>
    <row r="343" ht="15.75" customHeight="1" s="78"/>
    <row r="344" ht="15.75" customHeight="1" s="78"/>
    <row r="345" ht="15.75" customHeight="1" s="78"/>
    <row r="346" ht="15.75" customHeight="1" s="78"/>
    <row r="347" ht="15.75" customHeight="1" s="78"/>
    <row r="348" ht="15.75" customHeight="1" s="78"/>
    <row r="349" ht="15.75" customHeight="1" s="78"/>
    <row r="350" ht="15.75" customHeight="1" s="78"/>
    <row r="351" ht="15.75" customHeight="1" s="78"/>
    <row r="352" ht="15.75" customHeight="1" s="78"/>
    <row r="353" ht="15.75" customHeight="1" s="78"/>
    <row r="354" ht="15.75" customHeight="1" s="78"/>
    <row r="355" ht="15.75" customHeight="1" s="78"/>
    <row r="356" ht="15.75" customHeight="1" s="78"/>
    <row r="357" ht="15.75" customHeight="1" s="78"/>
    <row r="358" ht="15.75" customHeight="1" s="78"/>
    <row r="359" ht="15.75" customHeight="1" s="78"/>
    <row r="360" ht="15.75" customHeight="1" s="78"/>
    <row r="361" ht="15.75" customHeight="1" s="78"/>
    <row r="362" ht="15.75" customHeight="1" s="78"/>
    <row r="363" ht="15.75" customHeight="1" s="78"/>
    <row r="364" ht="15.75" customHeight="1" s="78"/>
    <row r="365" ht="15.75" customHeight="1" s="78"/>
    <row r="366" ht="15.75" customHeight="1" s="78"/>
    <row r="367" ht="15.75" customHeight="1" s="78"/>
    <row r="368" ht="15.75" customHeight="1" s="78"/>
    <row r="369" ht="15.75" customHeight="1" s="78"/>
    <row r="370" ht="15.75" customHeight="1" s="78"/>
    <row r="371" ht="15.75" customHeight="1" s="78"/>
    <row r="372" ht="15.75" customHeight="1" s="78"/>
    <row r="373" ht="15.75" customHeight="1" s="78"/>
    <row r="374" ht="15.75" customHeight="1" s="78"/>
    <row r="375" ht="15.75" customHeight="1" s="78"/>
    <row r="376" ht="15.75" customHeight="1" s="78"/>
    <row r="377" ht="15.75" customHeight="1" s="78"/>
    <row r="378" ht="15.75" customHeight="1" s="78"/>
    <row r="379" ht="15.75" customHeight="1" s="78"/>
    <row r="380" ht="15.75" customHeight="1" s="78"/>
    <row r="381" ht="15.75" customHeight="1" s="78"/>
    <row r="382" ht="15.75" customHeight="1" s="78"/>
    <row r="383" ht="15.75" customHeight="1" s="78"/>
    <row r="384" ht="15.75" customHeight="1" s="78"/>
    <row r="385" ht="15.75" customHeight="1" s="78"/>
    <row r="386" ht="15.75" customHeight="1" s="78"/>
    <row r="387" ht="15.75" customHeight="1" s="78"/>
    <row r="388" ht="15.75" customHeight="1" s="78"/>
    <row r="389" ht="15.75" customHeight="1" s="78"/>
    <row r="390" ht="15.75" customHeight="1" s="78"/>
    <row r="391" ht="15.75" customHeight="1" s="78"/>
    <row r="392" ht="15.75" customHeight="1" s="78"/>
    <row r="393" ht="15.75" customHeight="1" s="78"/>
    <row r="394" ht="15.75" customHeight="1" s="78"/>
    <row r="395" ht="15.75" customHeight="1" s="78"/>
    <row r="396" ht="15.75" customHeight="1" s="78"/>
    <row r="397" ht="15.75" customHeight="1" s="78"/>
    <row r="398" ht="15.75" customHeight="1" s="78"/>
    <row r="399" ht="15.75" customHeight="1" s="78"/>
    <row r="400" ht="15.75" customHeight="1" s="78"/>
    <row r="401" ht="15.75" customHeight="1" s="78"/>
    <row r="402" ht="15.75" customHeight="1" s="78"/>
    <row r="403" ht="15.75" customHeight="1" s="78"/>
    <row r="404" ht="15.75" customHeight="1" s="78"/>
    <row r="405" ht="15.75" customHeight="1" s="78"/>
    <row r="406" ht="15.75" customHeight="1" s="78"/>
    <row r="407" ht="15.75" customHeight="1" s="78"/>
    <row r="408" ht="15.75" customHeight="1" s="78"/>
    <row r="409" ht="15.75" customHeight="1" s="78"/>
    <row r="410" ht="15.75" customHeight="1" s="78"/>
    <row r="411" ht="15.75" customHeight="1" s="78"/>
    <row r="412" ht="15.75" customHeight="1" s="78"/>
    <row r="413" ht="15.75" customHeight="1" s="78"/>
    <row r="414" ht="15.75" customHeight="1" s="78"/>
    <row r="415" ht="15.75" customHeight="1" s="78"/>
    <row r="416" ht="15.75" customHeight="1" s="78"/>
    <row r="417" ht="15.75" customHeight="1" s="78"/>
    <row r="418" ht="15.75" customHeight="1" s="78"/>
    <row r="419" ht="15.75" customHeight="1" s="78"/>
    <row r="420" ht="15.75" customHeight="1" s="78"/>
    <row r="421" ht="15.75" customHeight="1" s="78"/>
    <row r="422" ht="15.75" customHeight="1" s="78"/>
    <row r="423" ht="15.75" customHeight="1" s="78"/>
    <row r="424" ht="15.75" customHeight="1" s="78"/>
    <row r="425" ht="15.75" customHeight="1" s="78"/>
    <row r="426" ht="15.75" customHeight="1" s="78"/>
    <row r="427" ht="15.75" customHeight="1" s="78"/>
    <row r="428" ht="15.75" customHeight="1" s="78"/>
    <row r="429" ht="15.75" customHeight="1" s="78"/>
    <row r="430" ht="15.75" customHeight="1" s="78"/>
    <row r="431" ht="15.75" customHeight="1" s="78"/>
    <row r="432" ht="15.75" customHeight="1" s="78"/>
    <row r="433" ht="15.75" customHeight="1" s="78"/>
    <row r="434" ht="15.75" customHeight="1" s="78"/>
    <row r="435" ht="15.75" customHeight="1" s="78"/>
    <row r="436" ht="15.75" customHeight="1" s="78"/>
    <row r="437" ht="15.75" customHeight="1" s="78"/>
    <row r="438" ht="15.75" customHeight="1" s="78"/>
    <row r="439" ht="15.75" customHeight="1" s="78"/>
    <row r="440" ht="15.75" customHeight="1" s="78"/>
    <row r="441" ht="15.75" customHeight="1" s="78"/>
    <row r="442" ht="15.75" customHeight="1" s="78"/>
    <row r="443" ht="15.75" customHeight="1" s="78"/>
    <row r="444" ht="15.75" customHeight="1" s="78"/>
    <row r="445" ht="15.75" customHeight="1" s="78"/>
    <row r="446" ht="15.75" customHeight="1" s="78"/>
    <row r="447" ht="15.75" customHeight="1" s="78"/>
    <row r="448" ht="15.75" customHeight="1" s="78"/>
    <row r="449" ht="15.75" customHeight="1" s="78"/>
    <row r="450" ht="15.75" customHeight="1" s="78"/>
    <row r="451" ht="15.75" customHeight="1" s="78"/>
    <row r="452" ht="15.75" customHeight="1" s="78"/>
    <row r="453" ht="15.75" customHeight="1" s="78"/>
    <row r="454" ht="15.75" customHeight="1" s="78"/>
    <row r="455" ht="15.75" customHeight="1" s="78"/>
    <row r="456" ht="15.75" customHeight="1" s="78"/>
    <row r="457" ht="15.75" customHeight="1" s="78"/>
    <row r="458" ht="15.75" customHeight="1" s="78"/>
    <row r="459" ht="15.75" customHeight="1" s="78"/>
    <row r="460" ht="15.75" customHeight="1" s="78"/>
    <row r="461" ht="15.75" customHeight="1" s="78"/>
    <row r="462" ht="15.75" customHeight="1" s="78"/>
    <row r="463" ht="15.75" customHeight="1" s="78"/>
    <row r="464" ht="15.75" customHeight="1" s="78"/>
    <row r="465" ht="15.75" customHeight="1" s="78"/>
    <row r="466" ht="15.75" customHeight="1" s="78"/>
    <row r="467" ht="15.75" customHeight="1" s="78"/>
    <row r="468" ht="15.75" customHeight="1" s="78"/>
    <row r="469" ht="15.75" customHeight="1" s="78"/>
    <row r="470" ht="15.75" customHeight="1" s="78"/>
    <row r="471" ht="15.75" customHeight="1" s="78"/>
    <row r="472" ht="15.75" customHeight="1" s="78"/>
    <row r="473" ht="15.75" customHeight="1" s="78"/>
    <row r="474" ht="15.75" customHeight="1" s="78"/>
    <row r="475" ht="15.75" customHeight="1" s="78"/>
    <row r="476" ht="15.75" customHeight="1" s="78"/>
    <row r="477" ht="15.75" customHeight="1" s="78"/>
    <row r="478" ht="15.75" customHeight="1" s="78"/>
    <row r="479" ht="15.75" customHeight="1" s="78"/>
    <row r="480" ht="15.75" customHeight="1" s="78"/>
    <row r="481" ht="15.75" customHeight="1" s="78"/>
    <row r="482" ht="15.75" customHeight="1" s="78"/>
    <row r="483" ht="15.75" customHeight="1" s="78"/>
    <row r="484" ht="15.75" customHeight="1" s="78"/>
    <row r="485" ht="15.75" customHeight="1" s="78"/>
    <row r="486" ht="15.75" customHeight="1" s="78"/>
    <row r="487" ht="15.75" customHeight="1" s="78"/>
    <row r="488" ht="15.75" customHeight="1" s="78"/>
    <row r="489" ht="15.75" customHeight="1" s="78"/>
    <row r="490" ht="15.75" customHeight="1" s="78"/>
    <row r="491" ht="15.75" customHeight="1" s="78"/>
    <row r="492" ht="15.75" customHeight="1" s="78"/>
    <row r="493" ht="15.75" customHeight="1" s="78"/>
    <row r="494" ht="15.75" customHeight="1" s="78"/>
    <row r="495" ht="15.75" customHeight="1" s="78"/>
    <row r="496" ht="15.75" customHeight="1" s="78"/>
    <row r="497" ht="15.75" customHeight="1" s="78"/>
    <row r="498" ht="15.75" customHeight="1" s="78"/>
    <row r="499" ht="15.75" customHeight="1" s="78"/>
    <row r="500" ht="15.75" customHeight="1" s="78"/>
    <row r="501" ht="15.75" customHeight="1" s="78"/>
    <row r="502" ht="15.75" customHeight="1" s="78"/>
    <row r="503" ht="15.75" customHeight="1" s="78"/>
    <row r="504" ht="15.75" customHeight="1" s="78"/>
    <row r="505" ht="15.75" customHeight="1" s="78"/>
    <row r="506" ht="15.75" customHeight="1" s="78"/>
    <row r="507" ht="15.75" customHeight="1" s="78"/>
    <row r="508" ht="15.75" customHeight="1" s="78"/>
    <row r="509" ht="15.75" customHeight="1" s="78"/>
    <row r="510" ht="15.75" customHeight="1" s="78"/>
    <row r="511" ht="15.75" customHeight="1" s="78"/>
    <row r="512" ht="15.75" customHeight="1" s="78"/>
    <row r="513" ht="15.75" customHeight="1" s="78"/>
    <row r="514" ht="15.75" customHeight="1" s="78"/>
    <row r="515" ht="15.75" customHeight="1" s="78"/>
    <row r="516" ht="15.75" customHeight="1" s="78"/>
    <row r="517" ht="15.75" customHeight="1" s="78"/>
    <row r="518" ht="15.75" customHeight="1" s="78"/>
    <row r="519" ht="15.75" customHeight="1" s="78"/>
    <row r="520" ht="15.75" customHeight="1" s="78"/>
    <row r="521" ht="15.75" customHeight="1" s="78"/>
    <row r="522" ht="15.75" customHeight="1" s="78"/>
    <row r="523" ht="15.75" customHeight="1" s="78"/>
    <row r="524" ht="15.75" customHeight="1" s="78"/>
    <row r="525" ht="15.75" customHeight="1" s="78"/>
    <row r="526" ht="15.75" customHeight="1" s="78"/>
    <row r="527" ht="15.75" customHeight="1" s="78"/>
    <row r="528" ht="15.75" customHeight="1" s="78"/>
    <row r="529" ht="15.75" customHeight="1" s="78"/>
    <row r="530" ht="15.75" customHeight="1" s="78"/>
    <row r="531" ht="15.75" customHeight="1" s="78"/>
    <row r="532" ht="15.75" customHeight="1" s="78"/>
    <row r="533" ht="15.75" customHeight="1" s="78"/>
    <row r="534" ht="15.75" customHeight="1" s="78"/>
    <row r="535" ht="15.75" customHeight="1" s="78"/>
    <row r="536" ht="15.75" customHeight="1" s="78"/>
    <row r="537" ht="15.75" customHeight="1" s="78"/>
    <row r="538" ht="15.75" customHeight="1" s="78"/>
    <row r="539" ht="15.75" customHeight="1" s="78"/>
    <row r="540" ht="15.75" customHeight="1" s="78"/>
    <row r="541" ht="15.75" customHeight="1" s="78"/>
    <row r="542" ht="15.75" customHeight="1" s="78"/>
    <row r="543" ht="15.75" customHeight="1" s="78"/>
    <row r="544" ht="15.75" customHeight="1" s="78"/>
    <row r="545" ht="15.75" customHeight="1" s="78"/>
    <row r="546" ht="15.75" customHeight="1" s="78"/>
    <row r="547" ht="15.75" customHeight="1" s="78"/>
    <row r="548" ht="15.75" customHeight="1" s="78"/>
    <row r="549" ht="15.75" customHeight="1" s="78"/>
    <row r="550" ht="15.75" customHeight="1" s="78"/>
    <row r="551" ht="15.75" customHeight="1" s="78"/>
    <row r="552" ht="15.75" customHeight="1" s="78"/>
    <row r="553" ht="15.75" customHeight="1" s="78"/>
    <row r="554" ht="15.75" customHeight="1" s="78"/>
    <row r="555" ht="15.75" customHeight="1" s="78"/>
    <row r="556" ht="15.75" customHeight="1" s="78"/>
    <row r="557" ht="15.75" customHeight="1" s="78"/>
    <row r="558" ht="15.75" customHeight="1" s="78"/>
    <row r="559" ht="15.75" customHeight="1" s="78"/>
    <row r="560" ht="15.75" customHeight="1" s="78"/>
    <row r="561" ht="15.75" customHeight="1" s="78"/>
    <row r="562" ht="15.75" customHeight="1" s="78"/>
    <row r="563" ht="15.75" customHeight="1" s="78"/>
    <row r="564" ht="15.75" customHeight="1" s="78"/>
    <row r="565" ht="15.75" customHeight="1" s="78"/>
    <row r="566" ht="15.75" customHeight="1" s="78"/>
    <row r="567" ht="15.75" customHeight="1" s="78"/>
    <row r="568" ht="15.75" customHeight="1" s="78"/>
    <row r="569" ht="15.75" customHeight="1" s="78"/>
    <row r="570" ht="15.75" customHeight="1" s="78"/>
    <row r="571" ht="15.75" customHeight="1" s="78"/>
    <row r="572" ht="15.75" customHeight="1" s="78"/>
    <row r="573" ht="15.75" customHeight="1" s="78"/>
    <row r="574" ht="15.75" customHeight="1" s="78"/>
    <row r="575" ht="15.75" customHeight="1" s="78"/>
    <row r="576" ht="15.75" customHeight="1" s="78"/>
    <row r="577" ht="15.75" customHeight="1" s="78"/>
    <row r="578" ht="15.75" customHeight="1" s="78"/>
    <row r="579" ht="15.75" customHeight="1" s="78"/>
    <row r="580" ht="15.75" customHeight="1" s="78"/>
    <row r="581" ht="15.75" customHeight="1" s="78"/>
    <row r="582" ht="15.75" customHeight="1" s="78"/>
    <row r="583" ht="15.75" customHeight="1" s="78"/>
    <row r="584" ht="15.75" customHeight="1" s="78"/>
    <row r="585" ht="15.75" customHeight="1" s="78"/>
    <row r="586" ht="15.75" customHeight="1" s="78"/>
    <row r="587" ht="15.75" customHeight="1" s="78"/>
    <row r="588" ht="15.75" customHeight="1" s="78"/>
    <row r="589" ht="15.75" customHeight="1" s="78"/>
    <row r="590" ht="15.75" customHeight="1" s="78"/>
    <row r="591" ht="15.75" customHeight="1" s="78"/>
    <row r="592" ht="15.75" customHeight="1" s="78"/>
    <row r="593" ht="15.75" customHeight="1" s="78"/>
    <row r="594" ht="15.75" customHeight="1" s="78"/>
    <row r="595" ht="15.75" customHeight="1" s="78"/>
    <row r="596" ht="15.75" customHeight="1" s="78"/>
    <row r="597" ht="15.75" customHeight="1" s="78"/>
    <row r="598" ht="15.75" customHeight="1" s="78"/>
    <row r="599" ht="15.75" customHeight="1" s="78"/>
    <row r="600" ht="15.75" customHeight="1" s="78"/>
    <row r="601" ht="15.75" customHeight="1" s="78"/>
    <row r="602" ht="15.75" customHeight="1" s="78"/>
    <row r="603" ht="15.75" customHeight="1" s="78"/>
    <row r="604" ht="15.75" customHeight="1" s="78"/>
    <row r="605" ht="15.75" customHeight="1" s="78"/>
    <row r="606" ht="15.75" customHeight="1" s="78"/>
    <row r="607" ht="15.75" customHeight="1" s="78"/>
    <row r="608" ht="15.75" customHeight="1" s="78"/>
    <row r="609" ht="15.75" customHeight="1" s="78"/>
    <row r="610" ht="15.75" customHeight="1" s="78"/>
    <row r="611" ht="15.75" customHeight="1" s="78"/>
    <row r="612" ht="15.75" customHeight="1" s="78"/>
    <row r="613" ht="15.75" customHeight="1" s="78"/>
    <row r="614" ht="15.75" customHeight="1" s="78"/>
    <row r="615" ht="15.75" customHeight="1" s="78"/>
    <row r="616" ht="15.75" customHeight="1" s="78"/>
    <row r="617" ht="15.75" customHeight="1" s="78"/>
    <row r="618" ht="15.75" customHeight="1" s="78"/>
    <row r="619" ht="15.75" customHeight="1" s="78"/>
    <row r="620" ht="15.75" customHeight="1" s="78"/>
    <row r="621" ht="15.75" customHeight="1" s="78"/>
    <row r="622" ht="15.75" customHeight="1" s="78"/>
    <row r="623" ht="15.75" customHeight="1" s="78"/>
    <row r="624" ht="15.75" customHeight="1" s="78"/>
    <row r="625" ht="15.75" customHeight="1" s="78"/>
    <row r="626" ht="15.75" customHeight="1" s="78"/>
    <row r="627" ht="15.75" customHeight="1" s="78"/>
    <row r="628" ht="15.75" customHeight="1" s="78"/>
    <row r="629" ht="15.75" customHeight="1" s="78"/>
    <row r="630" ht="15.75" customHeight="1" s="78"/>
    <row r="631" ht="15.75" customHeight="1" s="78"/>
    <row r="632" ht="15.75" customHeight="1" s="78"/>
    <row r="633" ht="15.75" customHeight="1" s="78"/>
    <row r="634" ht="15.75" customHeight="1" s="78"/>
    <row r="635" ht="15.75" customHeight="1" s="78"/>
    <row r="636" ht="15.75" customHeight="1" s="78"/>
    <row r="637" ht="15.75" customHeight="1" s="78"/>
    <row r="638" ht="15.75" customHeight="1" s="78"/>
    <row r="639" ht="15.75" customHeight="1" s="78"/>
    <row r="640" ht="15.75" customHeight="1" s="78"/>
    <row r="641" ht="15.75" customHeight="1" s="78"/>
    <row r="642" ht="15.75" customHeight="1" s="78"/>
    <row r="643" ht="15.75" customHeight="1" s="78"/>
    <row r="644" ht="15.75" customHeight="1" s="78"/>
    <row r="645" ht="15.75" customHeight="1" s="78"/>
    <row r="646" ht="15.75" customHeight="1" s="78"/>
    <row r="647" ht="15.75" customHeight="1" s="78"/>
    <row r="648" ht="15.75" customHeight="1" s="78"/>
    <row r="649" ht="15.75" customHeight="1" s="78"/>
    <row r="650" ht="15.75" customHeight="1" s="78"/>
    <row r="651" ht="15.75" customHeight="1" s="78"/>
    <row r="652" ht="15.75" customHeight="1" s="78"/>
    <row r="653" ht="15.75" customHeight="1" s="78"/>
    <row r="654" ht="15.75" customHeight="1" s="78"/>
    <row r="655" ht="15.75" customHeight="1" s="78"/>
    <row r="656" ht="15.75" customHeight="1" s="78"/>
    <row r="657" ht="15.75" customHeight="1" s="78"/>
    <row r="658" ht="15.75" customHeight="1" s="78"/>
    <row r="659" ht="15.75" customHeight="1" s="78"/>
    <row r="660" ht="15.75" customHeight="1" s="78"/>
    <row r="661" ht="15.75" customHeight="1" s="78"/>
    <row r="662" ht="15.75" customHeight="1" s="78"/>
    <row r="663" ht="15.75" customHeight="1" s="78"/>
    <row r="664" ht="15.75" customHeight="1" s="78"/>
    <row r="665" ht="15.75" customHeight="1" s="78"/>
    <row r="666" ht="15.75" customHeight="1" s="78"/>
    <row r="667" ht="15.75" customHeight="1" s="78"/>
    <row r="668" ht="15.75" customHeight="1" s="78"/>
    <row r="669" ht="15.75" customHeight="1" s="78"/>
    <row r="670" ht="15.75" customHeight="1" s="78"/>
    <row r="671" ht="15.75" customHeight="1" s="78"/>
    <row r="672" ht="15.75" customHeight="1" s="78"/>
    <row r="673" ht="15.75" customHeight="1" s="78"/>
    <row r="674" ht="15.75" customHeight="1" s="78"/>
    <row r="675" ht="15.75" customHeight="1" s="78"/>
    <row r="676" ht="15.75" customHeight="1" s="78"/>
    <row r="677" ht="15.75" customHeight="1" s="78"/>
    <row r="678" ht="15.75" customHeight="1" s="78"/>
    <row r="679" ht="15.75" customHeight="1" s="78"/>
    <row r="680" ht="15.75" customHeight="1" s="78"/>
    <row r="681" ht="15.75" customHeight="1" s="78"/>
    <row r="682" ht="15.75" customHeight="1" s="78"/>
    <row r="683" ht="15.75" customHeight="1" s="78"/>
    <row r="684" ht="15.75" customHeight="1" s="78"/>
    <row r="685" ht="15.75" customHeight="1" s="78"/>
    <row r="686" ht="15.75" customHeight="1" s="78"/>
    <row r="687" ht="15.75" customHeight="1" s="78"/>
    <row r="688" ht="15.75" customHeight="1" s="78"/>
    <row r="689" ht="15.75" customHeight="1" s="78"/>
    <row r="690" ht="15.75" customHeight="1" s="78"/>
    <row r="691" ht="15.75" customHeight="1" s="78"/>
    <row r="692" ht="15.75" customHeight="1" s="78"/>
    <row r="693" ht="15.75" customHeight="1" s="78"/>
    <row r="694" ht="15.75" customHeight="1" s="78"/>
    <row r="695" ht="15.75" customHeight="1" s="78"/>
    <row r="696" ht="15.75" customHeight="1" s="78"/>
    <row r="697" ht="15.75" customHeight="1" s="78"/>
    <row r="698" ht="15.75" customHeight="1" s="78"/>
    <row r="699" ht="15.75" customHeight="1" s="78"/>
    <row r="700" ht="15.75" customHeight="1" s="78"/>
    <row r="701" ht="15.75" customHeight="1" s="78"/>
    <row r="702" ht="15.75" customHeight="1" s="78"/>
    <row r="703" ht="15.75" customHeight="1" s="78"/>
    <row r="704" ht="15.75" customHeight="1" s="78"/>
    <row r="705" ht="15.75" customHeight="1" s="78"/>
    <row r="706" ht="15.75" customHeight="1" s="78"/>
    <row r="707" ht="15.75" customHeight="1" s="78"/>
    <row r="708" ht="15.75" customHeight="1" s="78"/>
    <row r="709" ht="15.75" customHeight="1" s="78"/>
    <row r="710" ht="15.75" customHeight="1" s="78"/>
    <row r="711" ht="15.75" customHeight="1" s="78"/>
    <row r="712" ht="15.75" customHeight="1" s="78"/>
    <row r="713" ht="15.75" customHeight="1" s="78"/>
    <row r="714" ht="15.75" customHeight="1" s="78"/>
    <row r="715" ht="15.75" customHeight="1" s="78"/>
    <row r="716" ht="15.75" customHeight="1" s="78"/>
    <row r="717" ht="15.75" customHeight="1" s="78"/>
    <row r="718" ht="15.75" customHeight="1" s="78"/>
    <row r="719" ht="15.75" customHeight="1" s="78"/>
    <row r="720" ht="15.75" customHeight="1" s="78"/>
    <row r="721" ht="15.75" customHeight="1" s="78"/>
    <row r="722" ht="15.75" customHeight="1" s="78"/>
    <row r="723" ht="15.75" customHeight="1" s="78"/>
    <row r="724" ht="15.75" customHeight="1" s="78"/>
    <row r="725" ht="15.75" customHeight="1" s="78"/>
    <row r="726" ht="15.75" customHeight="1" s="78"/>
    <row r="727" ht="15.75" customHeight="1" s="78"/>
    <row r="728" ht="15.75" customHeight="1" s="78"/>
    <row r="729" ht="15.75" customHeight="1" s="78"/>
    <row r="730" ht="15.75" customHeight="1" s="78"/>
    <row r="731" ht="15.75" customHeight="1" s="78"/>
    <row r="732" ht="15.75" customHeight="1" s="78"/>
    <row r="733" ht="15.75" customHeight="1" s="78"/>
    <row r="734" ht="15.75" customHeight="1" s="78"/>
    <row r="735" ht="15.75" customHeight="1" s="78"/>
    <row r="736" ht="15.75" customHeight="1" s="78"/>
    <row r="737" ht="15.75" customHeight="1" s="78"/>
    <row r="738" ht="15.75" customHeight="1" s="78"/>
    <row r="739" ht="15.75" customHeight="1" s="78"/>
    <row r="740" ht="15.75" customHeight="1" s="78"/>
    <row r="741" ht="15.75" customHeight="1" s="78"/>
    <row r="742" ht="15.75" customHeight="1" s="78"/>
    <row r="743" ht="15.75" customHeight="1" s="78"/>
    <row r="744" ht="15.75" customHeight="1" s="78"/>
    <row r="745" ht="15.75" customHeight="1" s="78"/>
    <row r="746" ht="15.75" customHeight="1" s="78"/>
    <row r="747" ht="15.75" customHeight="1" s="78"/>
    <row r="748" ht="15.75" customHeight="1" s="78"/>
    <row r="749" ht="15.75" customHeight="1" s="78"/>
    <row r="750" ht="15.75" customHeight="1" s="78"/>
    <row r="751" ht="15.75" customHeight="1" s="78"/>
    <row r="752" ht="15.75" customHeight="1" s="78"/>
    <row r="753" ht="15.75" customHeight="1" s="78"/>
    <row r="754" ht="15.75" customHeight="1" s="78"/>
    <row r="755" ht="15.75" customHeight="1" s="78"/>
    <row r="756" ht="15.75" customHeight="1" s="78"/>
    <row r="757" ht="15.75" customHeight="1" s="78"/>
    <row r="758" ht="15.75" customHeight="1" s="78"/>
    <row r="759" ht="15.75" customHeight="1" s="78"/>
    <row r="760" ht="15.75" customHeight="1" s="78"/>
    <row r="761" ht="15.75" customHeight="1" s="78"/>
    <row r="762" ht="15.75" customHeight="1" s="78"/>
    <row r="763" ht="15.75" customHeight="1" s="78"/>
    <row r="764" ht="15.75" customHeight="1" s="78"/>
    <row r="765" ht="15.75" customHeight="1" s="78"/>
    <row r="766" ht="15.75" customHeight="1" s="78"/>
    <row r="767" ht="15.75" customHeight="1" s="78"/>
    <row r="768" ht="15.75" customHeight="1" s="78"/>
    <row r="769" ht="15.75" customHeight="1" s="78"/>
    <row r="770" ht="15.75" customHeight="1" s="78"/>
    <row r="771" ht="15.75" customHeight="1" s="78"/>
    <row r="772" ht="15.75" customHeight="1" s="78"/>
    <row r="773" ht="15.75" customHeight="1" s="78"/>
    <row r="774" ht="15.75" customHeight="1" s="78"/>
    <row r="775" ht="15.75" customHeight="1" s="78"/>
    <row r="776" ht="15.75" customHeight="1" s="78"/>
    <row r="777" ht="15.75" customHeight="1" s="78"/>
    <row r="778" ht="15.75" customHeight="1" s="78"/>
    <row r="779" ht="15.75" customHeight="1" s="78"/>
    <row r="780" ht="15.75" customHeight="1" s="78"/>
    <row r="781" ht="15.75" customHeight="1" s="78"/>
    <row r="782" ht="15.75" customHeight="1" s="78"/>
    <row r="783" ht="15.75" customHeight="1" s="78"/>
    <row r="784" ht="15.75" customHeight="1" s="78"/>
    <row r="785" ht="15.75" customHeight="1" s="78"/>
    <row r="786" ht="15.75" customHeight="1" s="78"/>
    <row r="787" ht="15.75" customHeight="1" s="78"/>
    <row r="788" ht="15.75" customHeight="1" s="78"/>
    <row r="789" ht="15.75" customHeight="1" s="78"/>
    <row r="790" ht="15.75" customHeight="1" s="78"/>
    <row r="791" ht="15.75" customHeight="1" s="78"/>
    <row r="792" ht="15.75" customHeight="1" s="78"/>
    <row r="793" ht="15.75" customHeight="1" s="78"/>
    <row r="794" ht="15.75" customHeight="1" s="78"/>
    <row r="795" ht="15.75" customHeight="1" s="78"/>
    <row r="796" ht="15.75" customHeight="1" s="78"/>
    <row r="797" ht="15.75" customHeight="1" s="78"/>
    <row r="798" ht="15.75" customHeight="1" s="78"/>
    <row r="799" ht="15.75" customHeight="1" s="78"/>
    <row r="800" ht="15.75" customHeight="1" s="78"/>
    <row r="801" ht="15.75" customHeight="1" s="78"/>
    <row r="802" ht="15.75" customHeight="1" s="78"/>
    <row r="803" ht="15.75" customHeight="1" s="78"/>
    <row r="804" ht="15.75" customHeight="1" s="78"/>
    <row r="805" ht="15.75" customHeight="1" s="78"/>
    <row r="806" ht="15.75" customHeight="1" s="78"/>
    <row r="807" ht="15.75" customHeight="1" s="78"/>
    <row r="808" ht="15.75" customHeight="1" s="78"/>
    <row r="809" ht="15.75" customHeight="1" s="78"/>
    <row r="810" ht="15.75" customHeight="1" s="78"/>
    <row r="811" ht="15.75" customHeight="1" s="78"/>
    <row r="812" ht="15.75" customHeight="1" s="78"/>
    <row r="813" ht="15.75" customHeight="1" s="78"/>
    <row r="814" ht="15.75" customHeight="1" s="78"/>
    <row r="815" ht="15.75" customHeight="1" s="78"/>
    <row r="816" ht="15.75" customHeight="1" s="78"/>
    <row r="817" ht="15.75" customHeight="1" s="78"/>
    <row r="818" ht="15.75" customHeight="1" s="78"/>
    <row r="819" ht="15.75" customHeight="1" s="78"/>
    <row r="820" ht="15.75" customHeight="1" s="78"/>
    <row r="821" ht="15.75" customHeight="1" s="78"/>
    <row r="822" ht="15.75" customHeight="1" s="78"/>
    <row r="823" ht="15.75" customHeight="1" s="78"/>
    <row r="824" ht="15.75" customHeight="1" s="78"/>
    <row r="825" ht="15.75" customHeight="1" s="78"/>
    <row r="826" ht="15.75" customHeight="1" s="78"/>
    <row r="827" ht="15.75" customHeight="1" s="78"/>
    <row r="828" ht="15.75" customHeight="1" s="78"/>
    <row r="829" ht="15.75" customHeight="1" s="78"/>
    <row r="830" ht="15.75" customHeight="1" s="78"/>
    <row r="831" ht="15.75" customHeight="1" s="78"/>
    <row r="832" ht="15.75" customHeight="1" s="78"/>
    <row r="833" ht="15.75" customHeight="1" s="78"/>
    <row r="834" ht="15.75" customHeight="1" s="78"/>
    <row r="835" ht="15.75" customHeight="1" s="78"/>
    <row r="836" ht="15.75" customHeight="1" s="78"/>
    <row r="837" ht="15.75" customHeight="1" s="78"/>
    <row r="838" ht="15.75" customHeight="1" s="78"/>
    <row r="839" ht="15.75" customHeight="1" s="78"/>
    <row r="840" ht="15.75" customHeight="1" s="78"/>
    <row r="841" ht="15.75" customHeight="1" s="78"/>
    <row r="842" ht="15.75" customHeight="1" s="78"/>
    <row r="843" ht="15.75" customHeight="1" s="78"/>
    <row r="844" ht="15.75" customHeight="1" s="78"/>
    <row r="845" ht="15.75" customHeight="1" s="78"/>
    <row r="846" ht="15.75" customHeight="1" s="78"/>
    <row r="847" ht="15.75" customHeight="1" s="78"/>
    <row r="848" ht="15.75" customHeight="1" s="78"/>
    <row r="849" ht="15.75" customHeight="1" s="78"/>
    <row r="850" ht="15.75" customHeight="1" s="78"/>
    <row r="851" ht="15.75" customHeight="1" s="78"/>
    <row r="852" ht="15.75" customHeight="1" s="78"/>
    <row r="853" ht="15.75" customHeight="1" s="78"/>
    <row r="854" ht="15.75" customHeight="1" s="78"/>
    <row r="855" ht="15.75" customHeight="1" s="78"/>
    <row r="856" ht="15.75" customHeight="1" s="78"/>
    <row r="857" ht="15.75" customHeight="1" s="78"/>
    <row r="858" ht="15.75" customHeight="1" s="78"/>
    <row r="859" ht="15.75" customHeight="1" s="78"/>
    <row r="860" ht="15.75" customHeight="1" s="78"/>
    <row r="861" ht="15.75" customHeight="1" s="78"/>
    <row r="862" ht="15.75" customHeight="1" s="78"/>
    <row r="863" ht="15.75" customHeight="1" s="78"/>
    <row r="864" ht="15.75" customHeight="1" s="78"/>
    <row r="865" ht="15.75" customHeight="1" s="78"/>
    <row r="866" ht="15.75" customHeight="1" s="78"/>
    <row r="867" ht="15.75" customHeight="1" s="78"/>
    <row r="868" ht="15.75" customHeight="1" s="78"/>
    <row r="869" ht="15.75" customHeight="1" s="78"/>
    <row r="870" ht="15.75" customHeight="1" s="78"/>
    <row r="871" ht="15.75" customHeight="1" s="78"/>
    <row r="872" ht="15.75" customHeight="1" s="78"/>
    <row r="873" ht="15.75" customHeight="1" s="78"/>
    <row r="874" ht="15.75" customHeight="1" s="78"/>
    <row r="875" ht="15.75" customHeight="1" s="78"/>
    <row r="876" ht="15.75" customHeight="1" s="78"/>
    <row r="877" ht="15.75" customHeight="1" s="78"/>
    <row r="878" ht="15.75" customHeight="1" s="78"/>
    <row r="879" ht="15.75" customHeight="1" s="78"/>
    <row r="880" ht="15.75" customHeight="1" s="78"/>
    <row r="881" ht="15.75" customHeight="1" s="78"/>
    <row r="882" ht="15.75" customHeight="1" s="78"/>
    <row r="883" ht="15.75" customHeight="1" s="78"/>
    <row r="884" ht="15.75" customHeight="1" s="78"/>
    <row r="885" ht="15.75" customHeight="1" s="78"/>
    <row r="886" ht="15.75" customHeight="1" s="78"/>
    <row r="887" ht="15.75" customHeight="1" s="78"/>
    <row r="888" ht="15.75" customHeight="1" s="78"/>
    <row r="889" ht="15.75" customHeight="1" s="78"/>
    <row r="890" ht="15.75" customHeight="1" s="78"/>
    <row r="891" ht="15.75" customHeight="1" s="78"/>
    <row r="892" ht="15.75" customHeight="1" s="78"/>
    <row r="893" ht="15.75" customHeight="1" s="78"/>
    <row r="894" ht="15.75" customHeight="1" s="78"/>
    <row r="895" ht="15.75" customHeight="1" s="78"/>
    <row r="896" ht="15.75" customHeight="1" s="78"/>
    <row r="897" ht="15.75" customHeight="1" s="78"/>
    <row r="898" ht="15.75" customHeight="1" s="78"/>
    <row r="899" ht="15.75" customHeight="1" s="78"/>
    <row r="900" ht="15.75" customHeight="1" s="78"/>
    <row r="901" ht="15.75" customHeight="1" s="78"/>
    <row r="902" ht="15.75" customHeight="1" s="78"/>
    <row r="903" ht="15.75" customHeight="1" s="78"/>
    <row r="904" ht="15.75" customHeight="1" s="78"/>
    <row r="905" ht="15.75" customHeight="1" s="78"/>
    <row r="906" ht="15.75" customHeight="1" s="78"/>
    <row r="907" ht="15.75" customHeight="1" s="78"/>
    <row r="908" ht="15.75" customHeight="1" s="78"/>
    <row r="909" ht="15.75" customHeight="1" s="78"/>
    <row r="910" ht="15.75" customHeight="1" s="78"/>
    <row r="911" ht="15.75" customHeight="1" s="78"/>
    <row r="912" ht="15.75" customHeight="1" s="78"/>
    <row r="913" ht="15.75" customHeight="1" s="78"/>
    <row r="914" ht="15.75" customHeight="1" s="78"/>
    <row r="915" ht="15.75" customHeight="1" s="78"/>
    <row r="916" ht="15.75" customHeight="1" s="78"/>
    <row r="917" ht="15.75" customHeight="1" s="78"/>
    <row r="918" ht="15.75" customHeight="1" s="78"/>
    <row r="919" ht="15.75" customHeight="1" s="78"/>
    <row r="920" ht="15.75" customHeight="1" s="78"/>
    <row r="921" ht="15.75" customHeight="1" s="78"/>
    <row r="922" ht="15.75" customHeight="1" s="78"/>
    <row r="923" ht="15.75" customHeight="1" s="78"/>
    <row r="924" ht="15.75" customHeight="1" s="78"/>
    <row r="925" ht="15.75" customHeight="1" s="78"/>
    <row r="926" ht="15.75" customHeight="1" s="78"/>
    <row r="927" ht="15.75" customHeight="1" s="78"/>
    <row r="928" ht="15.75" customHeight="1" s="78"/>
    <row r="929" ht="15.75" customHeight="1" s="78"/>
    <row r="930" ht="15.75" customHeight="1" s="78"/>
    <row r="931" ht="15.75" customHeight="1" s="78"/>
    <row r="932" ht="15.75" customHeight="1" s="78"/>
    <row r="933" ht="15.75" customHeight="1" s="78"/>
    <row r="934" ht="15.75" customHeight="1" s="78"/>
    <row r="935" ht="15.75" customHeight="1" s="78"/>
    <row r="936" ht="15.75" customHeight="1" s="78"/>
    <row r="937" ht="15.75" customHeight="1" s="78"/>
    <row r="938" ht="15.75" customHeight="1" s="78"/>
    <row r="939" ht="15.75" customHeight="1" s="78"/>
    <row r="940" ht="15.75" customHeight="1" s="78"/>
    <row r="941" ht="15.75" customHeight="1" s="78"/>
    <row r="942" ht="15.75" customHeight="1" s="78"/>
    <row r="943" ht="15.75" customHeight="1" s="78"/>
    <row r="944" ht="15.75" customHeight="1" s="78"/>
    <row r="945" ht="15.75" customHeight="1" s="78"/>
    <row r="946" ht="15.75" customHeight="1" s="78"/>
    <row r="947" ht="15.75" customHeight="1" s="78"/>
    <row r="948" ht="15.75" customHeight="1" s="78"/>
    <row r="949" ht="15.75" customHeight="1" s="78"/>
    <row r="950" ht="15.75" customHeight="1" s="78"/>
    <row r="951" ht="15.75" customHeight="1" s="78"/>
    <row r="952" ht="15.75" customHeight="1" s="78"/>
    <row r="953" ht="15.75" customHeight="1" s="78"/>
    <row r="954" ht="15.75" customHeight="1" s="78"/>
    <row r="955" ht="15.75" customHeight="1" s="78"/>
    <row r="956" ht="15.75" customHeight="1" s="78"/>
    <row r="957" ht="15.75" customHeight="1" s="78"/>
    <row r="958" ht="15.75" customHeight="1" s="78"/>
    <row r="959" ht="15.75" customHeight="1" s="78"/>
    <row r="960" ht="15.75" customHeight="1" s="78"/>
    <row r="961" ht="15.75" customHeight="1" s="78"/>
    <row r="962" ht="15.75" customHeight="1" s="78"/>
    <row r="963" ht="15.75" customHeight="1" s="78"/>
    <row r="964" ht="15.75" customHeight="1" s="78"/>
    <row r="965" ht="15.75" customHeight="1" s="78"/>
    <row r="966" ht="15.75" customHeight="1" s="78"/>
    <row r="967" ht="15.75" customHeight="1" s="78"/>
    <row r="968" ht="15.75" customHeight="1" s="78"/>
    <row r="969" ht="15.75" customHeight="1" s="78"/>
    <row r="970" ht="15.75" customHeight="1" s="78"/>
    <row r="971" ht="15.75" customHeight="1" s="78"/>
    <row r="972" ht="15.75" customHeight="1" s="78"/>
    <row r="973" ht="15.75" customHeight="1" s="78"/>
    <row r="974" ht="15.75" customHeight="1" s="78"/>
    <row r="975" ht="15.75" customHeight="1" s="78"/>
    <row r="976" ht="15.75" customHeight="1" s="78"/>
    <row r="977" ht="15.75" customHeight="1" s="78"/>
    <row r="978" ht="15.75" customHeight="1" s="78"/>
    <row r="979" ht="15.75" customHeight="1" s="78"/>
    <row r="980" ht="15.75" customHeight="1" s="78"/>
    <row r="981" ht="15.75" customHeight="1" s="78"/>
    <row r="982" ht="15.75" customHeight="1" s="78"/>
    <row r="983" ht="15.75" customHeight="1" s="78"/>
    <row r="984" ht="15.75" customHeight="1" s="78"/>
    <row r="985" ht="15.75" customHeight="1" s="78"/>
    <row r="986" ht="15.75" customHeight="1" s="78"/>
    <row r="987" ht="15.75" customHeight="1" s="78"/>
    <row r="988" ht="15.75" customHeight="1" s="78"/>
    <row r="989" ht="15.75" customHeight="1" s="78"/>
    <row r="990" ht="15.75" customHeight="1" s="78"/>
    <row r="991" ht="15.75" customHeight="1" s="78"/>
    <row r="992" ht="15.75" customHeight="1" s="78"/>
    <row r="993" ht="15.75" customHeight="1" s="78"/>
    <row r="994" ht="15.75" customHeight="1" s="78"/>
    <row r="995" ht="15.75" customHeight="1" s="78"/>
    <row r="996" ht="15.75" customHeight="1" s="78"/>
    <row r="997" ht="15.75" customHeight="1" s="78"/>
    <row r="998" ht="15.75" customHeight="1" s="78"/>
    <row r="999" ht="15.75" customHeight="1" s="78"/>
    <row r="1000" ht="15.75" customHeight="1" s="78"/>
  </sheetData>
  <mergeCells count="2">
    <mergeCell ref="A2:G2"/>
    <mergeCell ref="A1:G1"/>
  </mergeCells>
  <pageMargins left="0.75" right="0.75" top="1" bottom="1" header="0" footer="0"/>
  <pageSetup orientation="landscape" fitToHeight="0"/>
</worksheet>
</file>

<file path=xl/worksheets/sheet4.xml><?xml version="1.0" encoding="utf-8"?>
<worksheet xmlns="http://schemas.openxmlformats.org/spreadsheetml/2006/main">
  <sheetPr>
    <outlinePr summaryBelow="1" summaryRight="1"/>
    <pageSetUpPr fitToPage="1"/>
  </sheetPr>
  <dimension ref="A1:M49"/>
  <sheetViews>
    <sheetView showGridLines="0" workbookViewId="0">
      <pane ySplit="4" topLeftCell="A5" activePane="bottomLeft" state="frozen"/>
      <selection pane="bottomLeft" activeCell="B6" sqref="B6"/>
    </sheetView>
  </sheetViews>
  <sheetFormatPr baseColWidth="8" defaultColWidth="14.43" defaultRowHeight="15" customHeight="1"/>
  <cols>
    <col width="8" customWidth="1" style="78" min="1" max="1"/>
    <col width="34" customWidth="1" style="78" min="2" max="2"/>
    <col width="7" customWidth="1" style="78" min="3" max="3"/>
    <col width="14.57" customWidth="1" style="78" min="4" max="4"/>
    <col width="22" customWidth="1" style="78" min="5" max="5"/>
    <col width="13.71" customWidth="1" style="78" min="6" max="6"/>
    <col width="10" customWidth="1" style="78" min="7" max="7"/>
    <col width="40" customWidth="1" style="78" min="8" max="8"/>
    <col width="20.57" customWidth="1" style="78" min="9" max="9"/>
    <col width="11" customWidth="1" style="78" min="10" max="10"/>
    <col width="46" customWidth="1" style="78" min="11" max="11"/>
    <col width="26.29" customWidth="1" style="78" min="12" max="12"/>
    <col width="73.56999999999999" customWidth="1" style="78" min="13" max="13"/>
    <col width="8.710000000000001" customWidth="1" style="78" min="14" max="26"/>
  </cols>
  <sheetData>
    <row r="1">
      <c r="A1" s="3" t="inlineStr">
        <is>
          <t>Accessibility Scorecard — BK Mobile</t>
        </is>
      </c>
    </row>
    <row r="2" ht="24" customHeight="1" s="78">
      <c r="A2" s="6" t="inlineStr">
        <is>
          <t>Blue cells are inputs (Status / Evidence count / Notes). WCAG2ICT and Recommended Improvement columns are reference-only. Everything else recalculates automatically.</t>
        </is>
      </c>
    </row>
    <row r="4" ht="30" customHeight="1" s="78">
      <c r="A4" s="8" t="inlineStr">
        <is>
          <t>SC #</t>
        </is>
      </c>
      <c r="B4" s="8" t="inlineStr">
        <is>
          <t>Success Criterion</t>
        </is>
      </c>
      <c r="C4" s="8" t="inlineStr">
        <is>
          <t>Level</t>
        </is>
      </c>
      <c r="D4" s="8" t="inlineStr">
        <is>
          <t>Principle</t>
        </is>
      </c>
      <c r="E4" s="8" t="inlineStr">
        <is>
          <t>Relevance
weight (1-3)</t>
        </is>
      </c>
      <c r="F4" s="8" t="inlineStr">
        <is>
          <t>Status</t>
        </is>
      </c>
      <c r="G4" s="8" t="inlineStr">
        <is>
          <t>Status
score</t>
        </is>
      </c>
      <c r="H4" s="8" t="inlineStr">
        <is>
          <t>Notes / Evidence</t>
        </is>
      </c>
      <c r="I4" s="8" t="inlineStr">
        <is>
          <t>Instances
found</t>
        </is>
      </c>
      <c r="J4" s="8" t="inlineStr">
        <is>
          <t>Weighted
score</t>
        </is>
      </c>
      <c r="K4" s="8" t="inlineStr">
        <is>
          <t>WCAG2ICT interpretation
(native/mobile software)</t>
        </is>
      </c>
      <c r="L4" s="18" t="inlineStr">
        <is>
          <t>Tested?</t>
        </is>
      </c>
      <c r="M4" s="8" t="inlineStr">
        <is>
          <t>Recommended Improvement</t>
        </is>
      </c>
    </row>
    <row r="5">
      <c r="A5" s="15" t="inlineStr">
        <is>
          <t>1.1.1</t>
        </is>
      </c>
      <c r="B5" s="11" t="inlineStr">
        <is>
          <t>Non-text Content</t>
        </is>
      </c>
      <c r="C5" s="13" t="inlineStr">
        <is>
          <t>A</t>
        </is>
      </c>
      <c r="D5" s="15" t="inlineStr">
        <is>
          <t>Perceivable</t>
        </is>
      </c>
      <c r="E5" s="23" t="n">
        <v>3</v>
      </c>
      <c r="F5" s="26" t="inlineStr">
        <is>
          <t>Fail</t>
        </is>
      </c>
      <c r="G5" s="15">
        <f>IF(F5="Pass",1,IF(F5="Partial",0.5,IF(F5="Fail",0,0)))</f>
        <v/>
      </c>
      <c r="H5" s="34" t="inlineStr">
        <is>
          <t>146 unlabelled controls + 47 visible text strings not exposed to a screen reader, across nearly all screens.</t>
        </is>
      </c>
      <c r="I5" s="23" t="n">
        <v>193</v>
      </c>
      <c r="J5" s="15">
        <f>E5*G5</f>
        <v/>
      </c>
      <c r="K5" s="39" t="inlineStr">
        <is>
          <t>'Web page' -&gt; 'software'; a non-text control's accessible name must be exposed via the platform accessibility API (Android AccessibilityNodeInfo / iOS UIAccessibility), not just visible on screen.</t>
        </is>
      </c>
      <c r="L5" s="15">
        <f>IF(OR(F5="Pass",F5="Partial",F5="Fail"),1,0)</f>
        <v/>
      </c>
      <c r="M5" s="41" t="inlineStr">
        <is>
          <t>Add a contentDescription (Android) / accessibilityLabel (iOS) to every icon-only control flagged (146 instances) - start with the 8 home-screen quick-links, back arrow, notification bell, and hide-balance icon. Separately, re-implement the 47 unexposed text strings (biller categories, 'Set target', validation messages) as real accessible text nodes rather than custom-drawn or image-based text.</t>
        </is>
      </c>
    </row>
    <row r="6">
      <c r="A6" s="29" t="inlineStr">
        <is>
          <t>1.3.1</t>
        </is>
      </c>
      <c r="B6" s="25" t="inlineStr">
        <is>
          <t>Info and Relationships</t>
        </is>
      </c>
      <c r="C6" s="13" t="inlineStr">
        <is>
          <t>A</t>
        </is>
      </c>
      <c r="D6" s="29" t="inlineStr">
        <is>
          <t>Perceivable</t>
        </is>
      </c>
      <c r="E6" s="42" t="n">
        <v>2</v>
      </c>
      <c r="F6" s="43" t="inlineStr">
        <is>
          <t>Partial</t>
        </is>
      </c>
      <c r="G6" s="29">
        <f>IF(F6="Pass",1,IF(F6="Partial",0.5,IF(F6="Fail",0,0)))</f>
        <v/>
      </c>
      <c r="H6" s="45" t="inlineStr">
        <is>
          <t>Overlapping clickable container on home screen breaks visual/structural grouping; touch-target boundaries misaligned with visual rows on Pay &gt; Billers.</t>
        </is>
      </c>
      <c r="I6" s="42" t="n">
        <v>8</v>
      </c>
      <c r="J6" s="29">
        <f>E6*G6</f>
        <v/>
      </c>
      <c r="K6" s="46" t="inlineStr">
        <is>
          <t>'Markup' -&gt; structural relationships conveyed through the accessibility tree (grouping, headings, lists) rather than HTML; a screen reader must be able to derive the same grouping a sighted user sees.</t>
        </is>
      </c>
      <c r="L6" s="29">
        <f>IF(OR(F6="Pass",F6="Partial",F6="Fail"),1,0)</f>
        <v/>
      </c>
      <c r="M6" s="47" t="inlineStr">
        <is>
          <t>Break the single large clickable container on the home screen into separately focusable, properly grouped elements (account card, quick-links grid, promo banner). Separately, re-align the Pay &gt; Billers list's touch/focus boundaries so each row's hit area matches its visible row exactly.</t>
        </is>
      </c>
    </row>
    <row r="7">
      <c r="A7" s="15" t="inlineStr">
        <is>
          <t>1.3.2</t>
        </is>
      </c>
      <c r="B7" s="11" t="inlineStr">
        <is>
          <t>Meaningful Sequence</t>
        </is>
      </c>
      <c r="C7" s="13" t="inlineStr">
        <is>
          <t>A</t>
        </is>
      </c>
      <c r="D7" s="15" t="inlineStr">
        <is>
          <t>Perceivable</t>
        </is>
      </c>
      <c r="E7" s="23" t="n">
        <v>2</v>
      </c>
      <c r="F7" s="50" t="inlineStr">
        <is>
          <t>Not Tested</t>
        </is>
      </c>
      <c r="G7" s="15">
        <f>IF(F7="Pass",1,IF(F7="Partial",0.5,IF(F7="Fail",0,0)))</f>
        <v/>
      </c>
      <c r="H7" s="34" t="inlineStr">
        <is>
          <t>Requires manual TalkBack swipe-order testing.</t>
        </is>
      </c>
      <c r="I7" s="23" t="inlineStr">
        <is>
          <t>-</t>
        </is>
      </c>
      <c r="J7" s="15">
        <f>E7*G7</f>
        <v/>
      </c>
      <c r="K7" s="39" t="inlineStr">
        <is>
          <t>Applies as written: the swipe/focus order exposed to a screen reader must match the meaningful reading order, independent of visual layout.</t>
        </is>
      </c>
      <c r="L7" s="15">
        <f>IF(OR(F7="Pass",F7="Partial",F7="Fail"),1,0)</f>
        <v/>
      </c>
      <c r="M7" s="53" t="inlineStr">
        <is>
          <t>No fix to prescribe yet - conduct the manual test first to confirm actual status.</t>
        </is>
      </c>
    </row>
    <row r="8">
      <c r="A8" s="29" t="inlineStr">
        <is>
          <t>1.3.3</t>
        </is>
      </c>
      <c r="B8" s="25" t="inlineStr">
        <is>
          <t>Sensory Characteristics</t>
        </is>
      </c>
      <c r="C8" s="13" t="inlineStr">
        <is>
          <t>A</t>
        </is>
      </c>
      <c r="D8" s="29" t="inlineStr">
        <is>
          <t>Perceivable</t>
        </is>
      </c>
      <c r="E8" s="42" t="n">
        <v>1</v>
      </c>
      <c r="F8" s="54" t="inlineStr">
        <is>
          <t>Pass</t>
        </is>
      </c>
      <c r="G8" s="29">
        <f>IF(F8="Pass",1,IF(F8="Partial",0.5,IF(F8="Fail",0,0)))</f>
        <v/>
      </c>
      <c r="H8" s="45" t="inlineStr">
        <is>
          <t>Network selector (MTN/Airtel) uses icon + colour + text label, not colour alone.</t>
        </is>
      </c>
      <c r="I8" s="42" t="inlineStr">
        <is>
          <t>-</t>
        </is>
      </c>
      <c r="J8" s="29">
        <f>E8*G8</f>
        <v/>
      </c>
      <c r="K8" s="46" t="inlineStr">
        <is>
          <t>Applies as written; no web-specific terms to reinterpret.</t>
        </is>
      </c>
      <c r="L8" s="29">
        <f>IF(OR(F8="Pass",F8="Partial",F8="Fail"),1,0)</f>
        <v/>
      </c>
      <c r="M8" s="57" t="inlineStr">
        <is>
          <t>No action needed on current evidence.</t>
        </is>
      </c>
    </row>
    <row r="9">
      <c r="A9" s="15" t="inlineStr">
        <is>
          <t>1.4.1</t>
        </is>
      </c>
      <c r="B9" s="11" t="inlineStr">
        <is>
          <t>Use of Color</t>
        </is>
      </c>
      <c r="C9" s="13" t="inlineStr">
        <is>
          <t>A</t>
        </is>
      </c>
      <c r="D9" s="15" t="inlineStr">
        <is>
          <t>Perceivable</t>
        </is>
      </c>
      <c r="E9" s="23" t="n">
        <v>1</v>
      </c>
      <c r="F9" s="43" t="inlineStr">
        <is>
          <t>Partial</t>
        </is>
      </c>
      <c r="G9" s="15">
        <f>IF(F9="Pass",1,IF(F9="Partial",0.5,IF(F9="Fail",0,0)))</f>
        <v/>
      </c>
      <c r="H9" s="34" t="inlineStr">
        <is>
          <t>Show/hide-balance control relies on an eye icon only, with no text state indicator.</t>
        </is>
      </c>
      <c r="I9" s="23" t="n">
        <v>1</v>
      </c>
      <c r="J9" s="15">
        <f>E9*G9</f>
        <v/>
      </c>
      <c r="K9" s="39" t="inlineStr">
        <is>
          <t>Applies as written; on native software this covers icon-only state indicators as much as web colour cues.</t>
        </is>
      </c>
      <c r="L9" s="15">
        <f>IF(OR(F9="Pass",F9="Partial",F9="Fail"),1,0)</f>
        <v/>
      </c>
      <c r="M9" s="62" t="inlineStr">
        <is>
          <t>Add a text or announced state alongside the eye icon for show/hide balance (e.g. 'Balance hidden' / 'Balance visible'), so the state isn't conveyed by icon shape alone.</t>
        </is>
      </c>
    </row>
    <row r="10">
      <c r="A10" s="29" t="inlineStr">
        <is>
          <t>2.1.1</t>
        </is>
      </c>
      <c r="B10" s="25" t="inlineStr">
        <is>
          <t>Keyboard / assistive-tech equivalent</t>
        </is>
      </c>
      <c r="C10" s="13" t="inlineStr">
        <is>
          <t>A</t>
        </is>
      </c>
      <c r="D10" s="29" t="inlineStr">
        <is>
          <t>Operable</t>
        </is>
      </c>
      <c r="E10" s="42" t="n">
        <v>2</v>
      </c>
      <c r="F10" s="50" t="inlineStr">
        <is>
          <t>Not Tested</t>
        </is>
      </c>
      <c r="G10" s="29">
        <f>IF(F10="Pass",1,IF(F10="Partial",0.5,IF(F10="Fail",0,0)))</f>
        <v/>
      </c>
      <c r="H10" s="45" t="inlineStr">
        <is>
          <t>Requires manual Switch Access / external keyboard testing.</t>
        </is>
      </c>
      <c r="I10" s="42" t="inlineStr">
        <is>
          <t>-</t>
        </is>
      </c>
      <c r="J10" s="29">
        <f>E10*G10</f>
        <v/>
      </c>
      <c r="K10" s="46" t="inlineStr">
        <is>
          <t>'Keyboard' -&gt; 'keyboard interface', which WCAG2ICT clarifies includes assistive technologies such as Switch Access/Full Keyboard Access that emulate key input, not only a physical keyboard.</t>
        </is>
      </c>
      <c r="L10" s="29">
        <f>IF(OR(F10="Pass",F10="Partial",F10="Fail"),1,0)</f>
        <v/>
      </c>
      <c r="M10" s="57" t="inlineStr">
        <is>
          <t>No fix to prescribe yet - conduct the manual test first to confirm actual status.</t>
        </is>
      </c>
    </row>
    <row r="11">
      <c r="A11" s="15" t="inlineStr">
        <is>
          <t>2.4.3</t>
        </is>
      </c>
      <c r="B11" s="11" t="inlineStr">
        <is>
          <t>Focus Order</t>
        </is>
      </c>
      <c r="C11" s="13" t="inlineStr">
        <is>
          <t>A</t>
        </is>
      </c>
      <c r="D11" s="15" t="inlineStr">
        <is>
          <t>Operable</t>
        </is>
      </c>
      <c r="E11" s="23" t="n">
        <v>3</v>
      </c>
      <c r="F11" s="50" t="inlineStr">
        <is>
          <t>Not Tested</t>
        </is>
      </c>
      <c r="G11" s="15">
        <f>IF(F11="Pass",1,IF(F11="Partial",0.5,IF(F11="Fail",0,0)))</f>
        <v/>
      </c>
      <c r="H11" s="34" t="inlineStr">
        <is>
          <t>Requires manual TalkBack testing.</t>
        </is>
      </c>
      <c r="I11" s="23" t="inlineStr">
        <is>
          <t>-</t>
        </is>
      </c>
      <c r="J11" s="15">
        <f>E11*G11</f>
        <v/>
      </c>
      <c r="K11" s="39" t="inlineStr">
        <is>
          <t>Applies as written to the platform's own focus/accessibility-cursor order.</t>
        </is>
      </c>
      <c r="L11" s="15">
        <f>IF(OR(F11="Pass",F11="Partial",F11="Fail"),1,0)</f>
        <v/>
      </c>
      <c r="M11" s="53" t="inlineStr">
        <is>
          <t>No fix to prescribe yet - conduct the manual test first to confirm actual status.</t>
        </is>
      </c>
    </row>
    <row r="12">
      <c r="A12" s="29" t="inlineStr">
        <is>
          <t>2.4.4</t>
        </is>
      </c>
      <c r="B12" s="25" t="inlineStr">
        <is>
          <t>Link Purpose (In Context)</t>
        </is>
      </c>
      <c r="C12" s="13" t="inlineStr">
        <is>
          <t>A</t>
        </is>
      </c>
      <c r="D12" s="29" t="inlineStr">
        <is>
          <t>Operable</t>
        </is>
      </c>
      <c r="E12" s="42" t="n">
        <v>2</v>
      </c>
      <c r="F12" s="26" t="inlineStr">
        <is>
          <t>Fail</t>
        </is>
      </c>
      <c r="G12" s="29">
        <f>IF(F12="Pass",1,IF(F12="Partial",0.5,IF(F12="Fail",0,0)))</f>
        <v/>
      </c>
      <c r="H12" s="45" t="inlineStr">
        <is>
          <t>Icon-only quick links / nav items with no accessible purpose text (e.g. Statement, Electricity, Get Loan icons).</t>
        </is>
      </c>
      <c r="I12" s="42" t="n">
        <v>146</v>
      </c>
      <c r="J12" s="29">
        <f>E12*G12</f>
        <v/>
      </c>
      <c r="K12" s="46" t="inlineStr">
        <is>
          <t>'Link' -&gt; any control that navigates or triggers an action (a quick-link icon, a list row); purpose must be determinable from its accessible name or surrounding context.</t>
        </is>
      </c>
      <c r="L12" s="29">
        <f>IF(OR(F12="Pass",F12="Partial",F12="Fail"),1,0)</f>
        <v/>
      </c>
      <c r="M12" s="64" t="inlineStr">
        <is>
          <t>Give every quick-link/nav icon an accessible name that states its destination or action in words (e.g. 'View statement', not just a document icon), so purpose is announced without the user having to guess and activate it to find out.</t>
        </is>
      </c>
    </row>
    <row r="13">
      <c r="A13" s="15" t="inlineStr">
        <is>
          <t>2.5.1</t>
        </is>
      </c>
      <c r="B13" s="11" t="inlineStr">
        <is>
          <t>Pointer Gestures</t>
        </is>
      </c>
      <c r="C13" s="13" t="inlineStr">
        <is>
          <t>A</t>
        </is>
      </c>
      <c r="D13" s="15" t="inlineStr">
        <is>
          <t>Operable</t>
        </is>
      </c>
      <c r="E13" s="23" t="n">
        <v>1</v>
      </c>
      <c r="F13" s="54" t="inlineStr">
        <is>
          <t>Pass</t>
        </is>
      </c>
      <c r="G13" s="15">
        <f>IF(F13="Pass",1,IF(F13="Partial",0.5,IF(F13="Fail",0,0)))</f>
        <v/>
      </c>
      <c r="H13" s="34" t="inlineStr">
        <is>
          <t>No multi-point or path-based gestures observed in the flows captured.</t>
        </is>
      </c>
      <c r="I13" s="23" t="inlineStr">
        <is>
          <t>-</t>
        </is>
      </c>
      <c r="J13" s="15">
        <f>E13*G13</f>
        <v/>
      </c>
      <c r="K13" s="39" t="inlineStr">
        <is>
          <t>Applies as written; written with touch interfaces in mind from WCAG 2.1 onward.</t>
        </is>
      </c>
      <c r="L13" s="15">
        <f>IF(OR(F13="Pass",F13="Partial",F13="Fail"),1,0)</f>
        <v/>
      </c>
      <c r="M13" s="53" t="inlineStr">
        <is>
          <t>No action needed on current evidence.</t>
        </is>
      </c>
    </row>
    <row r="14">
      <c r="A14" s="29" t="inlineStr">
        <is>
          <t>2.5.2</t>
        </is>
      </c>
      <c r="B14" s="25" t="inlineStr">
        <is>
          <t>Pointer Cancellation</t>
        </is>
      </c>
      <c r="C14" s="13" t="inlineStr">
        <is>
          <t>A</t>
        </is>
      </c>
      <c r="D14" s="29" t="inlineStr">
        <is>
          <t>Operable</t>
        </is>
      </c>
      <c r="E14" s="42" t="n">
        <v>1</v>
      </c>
      <c r="F14" s="50" t="inlineStr">
        <is>
          <t>Not Tested</t>
        </is>
      </c>
      <c r="G14" s="29">
        <f>IF(F14="Pass",1,IF(F14="Partial",0.5,IF(F14="Fail",0,0)))</f>
        <v/>
      </c>
      <c r="H14" s="45" t="inlineStr">
        <is>
          <t>Requires manual down-event/up-event testing.</t>
        </is>
      </c>
      <c r="I14" s="42" t="inlineStr">
        <is>
          <t>-</t>
        </is>
      </c>
      <c r="J14" s="29">
        <f>E14*G14</f>
        <v/>
      </c>
      <c r="K14" s="46" t="inlineStr">
        <is>
          <t>Applies as written to native touch handling (down-event vs up-event activation).</t>
        </is>
      </c>
      <c r="L14" s="29">
        <f>IF(OR(F14="Pass",F14="Partial",F14="Fail"),1,0)</f>
        <v/>
      </c>
      <c r="M14" s="57" t="inlineStr">
        <is>
          <t>No fix to prescribe yet - conduct the manual test first to confirm actual status.</t>
        </is>
      </c>
    </row>
    <row r="15">
      <c r="A15" s="15" t="inlineStr">
        <is>
          <t>2.5.3</t>
        </is>
      </c>
      <c r="B15" s="11" t="inlineStr">
        <is>
          <t>Label in Name</t>
        </is>
      </c>
      <c r="C15" s="13" t="inlineStr">
        <is>
          <t>A</t>
        </is>
      </c>
      <c r="D15" s="15" t="inlineStr">
        <is>
          <t>Operable</t>
        </is>
      </c>
      <c r="E15" s="23" t="n">
        <v>2</v>
      </c>
      <c r="F15" s="43" t="inlineStr">
        <is>
          <t>Partial</t>
        </is>
      </c>
      <c r="G15" s="15">
        <f>IF(F15="Pass",1,IF(F15="Partial",0.5,IF(F15="Fail",0,0)))</f>
        <v/>
      </c>
      <c r="H15" s="34" t="inlineStr">
        <is>
          <t>Visible text (e.g. 'Savings', biller category names) not confirmed to match or exist in the accessible name.</t>
        </is>
      </c>
      <c r="I15" s="23" t="n">
        <v>47</v>
      </c>
      <c r="J15" s="15">
        <f>E15*G15</f>
        <v/>
      </c>
      <c r="K15" s="39" t="inlineStr">
        <is>
          <t>Applies as written: the programmatic accessible name must contain the visible label text so voice-control users can reference what they see.</t>
        </is>
      </c>
      <c r="L15" s="15">
        <f>IF(OR(F15="Pass",F15="Partial",F15="Fail"),1,0)</f>
        <v/>
      </c>
      <c r="M15" s="62" t="inlineStr">
        <is>
          <t>Audit controls such as 'Savings' and each biller category row to confirm their accessible name contains the visible label text verbatim, so voice-control users referencing what they see can activate them.</t>
        </is>
      </c>
    </row>
    <row r="16">
      <c r="A16" s="29" t="inlineStr">
        <is>
          <t>3.3.1</t>
        </is>
      </c>
      <c r="B16" s="25" t="inlineStr">
        <is>
          <t>Error Identification</t>
        </is>
      </c>
      <c r="C16" s="13" t="inlineStr">
        <is>
          <t>A</t>
        </is>
      </c>
      <c r="D16" s="29" t="inlineStr">
        <is>
          <t>Understandable</t>
        </is>
      </c>
      <c r="E16" s="42" t="n">
        <v>3</v>
      </c>
      <c r="F16" s="26" t="inlineStr">
        <is>
          <t>Fail</t>
        </is>
      </c>
      <c r="G16" s="29">
        <f>IF(F16="Pass",1,IF(F16="Partial",0.5,IF(F16="Fail",0,0)))</f>
        <v/>
      </c>
      <c r="H16" s="45" t="inlineStr">
        <is>
          <t>Mobile-number validation message detected as visible text not confirmed announced to a screen reader.</t>
        </is>
      </c>
      <c r="I16" s="42" t="n">
        <v>1</v>
      </c>
      <c r="J16" s="29">
        <f>E16*G16</f>
        <v/>
      </c>
      <c r="K16" s="46" t="inlineStr">
        <is>
          <t>Applies as written; the error must be identified through the accessibility API (e.g. announced), not only shown visually.</t>
        </is>
      </c>
      <c r="L16" s="29">
        <f>IF(OR(F16="Pass",F16="Partial",F16="Fail"),1,0)</f>
        <v/>
      </c>
      <c r="M16" s="64" t="inlineStr">
        <is>
          <t>Expose the mobile-number-length validation message as a live-region announcement (Android accessibility event / iOS UIAccessibility postNotification) so it is spoken immediately when it appears, not only shown as visual red text.</t>
        </is>
      </c>
    </row>
    <row r="17">
      <c r="A17" s="15" t="inlineStr">
        <is>
          <t>3.3.2</t>
        </is>
      </c>
      <c r="B17" s="11" t="inlineStr">
        <is>
          <t>Labels or Instructions</t>
        </is>
      </c>
      <c r="C17" s="13" t="inlineStr">
        <is>
          <t>A</t>
        </is>
      </c>
      <c r="D17" s="15" t="inlineStr">
        <is>
          <t>Understandable</t>
        </is>
      </c>
      <c r="E17" s="23" t="n">
        <v>3</v>
      </c>
      <c r="F17" s="26" t="inlineStr">
        <is>
          <t>Fail</t>
        </is>
      </c>
      <c r="G17" s="15">
        <f>IF(F17="Pass",1,IF(F17="Partial",0.5,IF(F17="Fail",0,0)))</f>
        <v/>
      </c>
      <c r="H17" s="34" t="inlineStr">
        <is>
          <t>Form fields (Phone number, Account holder) rely on placeholder text with no confirmed persistent accessible label.</t>
        </is>
      </c>
      <c r="I17" s="23" t="n">
        <v>3</v>
      </c>
      <c r="J17" s="15">
        <f>E17*G17</f>
        <v/>
      </c>
      <c r="K17" s="39" t="inlineStr">
        <is>
          <t>Applies as written; WCAG2ICT notes placeholder-only text that disappears on input/focus is a common native-software failure mode of this criterion.</t>
        </is>
      </c>
      <c r="L17" s="15">
        <f>IF(OR(F17="Pass",F17="Partial",F17="Fail"),1,0)</f>
        <v/>
      </c>
      <c r="M17" s="41" t="inlineStr">
        <is>
          <t>Replace placeholder-only field labels ('Phone number', 'Account holder') with a persistent label that stays visible and accessible after the user starts typing (e.g. a floating-label pattern), so the field's purpose isn't lost once input begins.</t>
        </is>
      </c>
    </row>
    <row r="18">
      <c r="A18" s="29" t="inlineStr">
        <is>
          <t>3.3.9</t>
        </is>
      </c>
      <c r="B18" s="25" t="inlineStr">
        <is>
          <t>Redundant Entry</t>
        </is>
      </c>
      <c r="C18" s="13" t="inlineStr">
        <is>
          <t>A</t>
        </is>
      </c>
      <c r="D18" s="29" t="inlineStr">
        <is>
          <t>Understandable</t>
        </is>
      </c>
      <c r="E18" s="42" t="n">
        <v>1</v>
      </c>
      <c r="F18" s="50" t="inlineStr">
        <is>
          <t>Not Tested</t>
        </is>
      </c>
      <c r="G18" s="29">
        <f>IF(F18="Pass",1,IF(F18="Partial",0.5,IF(F18="Fail",0,0)))</f>
        <v/>
      </c>
      <c r="H18" s="45" t="inlineStr">
        <is>
          <t>Requires manual review of multi-step forms (e.g. transfer flows).</t>
        </is>
      </c>
      <c r="I18" s="42" t="inlineStr">
        <is>
          <t>-</t>
        </is>
      </c>
      <c r="J18" s="29">
        <f>E18*G18</f>
        <v/>
      </c>
      <c r="K18" s="46" t="inlineStr">
        <is>
          <t>Applies as written; added in WCAG 2.2 with no web-specific terms.</t>
        </is>
      </c>
      <c r="L18" s="29">
        <f>IF(OR(F18="Pass",F18="Partial",F18="Fail"),1,0)</f>
        <v/>
      </c>
      <c r="M18" s="57" t="inlineStr">
        <is>
          <t>No fix to prescribe yet - conduct the manual test first to confirm actual status.</t>
        </is>
      </c>
    </row>
    <row r="19">
      <c r="A19" s="15" t="inlineStr">
        <is>
          <t>1.3.5</t>
        </is>
      </c>
      <c r="B19" s="11" t="inlineStr">
        <is>
          <t>Identify Input Purpose</t>
        </is>
      </c>
      <c r="C19" s="48" t="inlineStr">
        <is>
          <t>AA</t>
        </is>
      </c>
      <c r="D19" s="15" t="inlineStr">
        <is>
          <t>Perceivable</t>
        </is>
      </c>
      <c r="E19" s="23" t="n">
        <v>2</v>
      </c>
      <c r="F19" s="50" t="inlineStr">
        <is>
          <t>Not Tested</t>
        </is>
      </c>
      <c r="G19" s="15">
        <f>IF(F19="Pass",1,IF(F19="Partial",0.5,IF(F19="Fail",0,0)))</f>
        <v/>
      </c>
      <c r="H19" s="34" t="inlineStr">
        <is>
          <t>Requires manual check: do fields like phone number / amount expose a standard input type so OS-level autofill can offer to complete them?</t>
        </is>
      </c>
      <c r="I19" s="23" t="inlineStr">
        <is>
          <t>-</t>
        </is>
      </c>
      <c r="J19" s="15">
        <f>E19*G19</f>
        <v/>
      </c>
      <c r="K19" s="39" t="inlineStr">
        <is>
          <t>'Input purpose... can be programmatically determined' maps to using standard platform input types/autofill hints (e.g. Android autofillHints) rather than a generic text field.</t>
        </is>
      </c>
      <c r="L19" s="15">
        <f>IF(OR(F19="Pass",F19="Partial",F19="Fail"),1,0)</f>
        <v/>
      </c>
      <c r="M19" s="53" t="inlineStr">
        <is>
          <t>No fix to prescribe yet - conduct the manual test first to confirm actual status.</t>
        </is>
      </c>
    </row>
    <row r="20">
      <c r="A20" s="29" t="inlineStr">
        <is>
          <t>3.2.1</t>
        </is>
      </c>
      <c r="B20" s="25" t="inlineStr">
        <is>
          <t>On Focus</t>
        </is>
      </c>
      <c r="C20" s="13" t="inlineStr">
        <is>
          <t>A</t>
        </is>
      </c>
      <c r="D20" s="29" t="inlineStr">
        <is>
          <t>Operable</t>
        </is>
      </c>
      <c r="E20" s="42" t="n">
        <v>2</v>
      </c>
      <c r="F20" s="50" t="inlineStr">
        <is>
          <t>Not Tested</t>
        </is>
      </c>
      <c r="G20" s="29">
        <f>IF(F20="Pass",1,IF(F20="Partial",0.5,IF(F20="Fail",0,0)))</f>
        <v/>
      </c>
      <c r="H20" s="45" t="inlineStr">
        <is>
          <t>Requires manual check: does simply moving focus onto a field (without activating it) ever trigger a navigation or submission?</t>
        </is>
      </c>
      <c r="I20" s="42" t="inlineStr">
        <is>
          <t>-</t>
        </is>
      </c>
      <c r="J20" s="29">
        <f>E20*G20</f>
        <v/>
      </c>
      <c r="K20" s="46" t="inlineStr">
        <is>
          <t>Applies as written; on native software this covers focus changes triggered by the accessibility cursor, not only literal keyboard focus.</t>
        </is>
      </c>
      <c r="L20" s="29">
        <f>IF(OR(F20="Pass",F20="Partial",F20="Fail"),1,0)</f>
        <v/>
      </c>
      <c r="M20" s="57" t="inlineStr">
        <is>
          <t>No fix to prescribe yet - conduct the manual test first to confirm actual status.</t>
        </is>
      </c>
    </row>
    <row r="21" ht="15.75" customHeight="1" s="78">
      <c r="A21" s="15" t="inlineStr">
        <is>
          <t>3.2.2</t>
        </is>
      </c>
      <c r="B21" s="11" t="inlineStr">
        <is>
          <t>On Input</t>
        </is>
      </c>
      <c r="C21" s="13" t="inlineStr">
        <is>
          <t>A</t>
        </is>
      </c>
      <c r="D21" s="15" t="inlineStr">
        <is>
          <t>Operable</t>
        </is>
      </c>
      <c r="E21" s="23" t="n">
        <v>2</v>
      </c>
      <c r="F21" s="50" t="inlineStr">
        <is>
          <t>Not Tested</t>
        </is>
      </c>
      <c r="G21" s="15">
        <f>IF(F21="Pass",1,IF(F21="Partial",0.5,IF(F21="Fail",0,0)))</f>
        <v/>
      </c>
      <c r="H21" s="34" t="inlineStr">
        <is>
          <t>Requires manual check: does changing a field's value (e.g. selecting MTN vs Airtel) ever submit or navigate without an explicit confirm action?</t>
        </is>
      </c>
      <c r="I21" s="23" t="inlineStr">
        <is>
          <t>-</t>
        </is>
      </c>
      <c r="J21" s="15">
        <f>E21*G21</f>
        <v/>
      </c>
      <c r="K21" s="39" t="inlineStr">
        <is>
          <t>Applies as written; important on forms with toggles/selectors (network, Self/Other) that a screen-reader user changes one at a time.</t>
        </is>
      </c>
      <c r="L21" s="15">
        <f>IF(OR(F21="Pass",F21="Partial",F21="Fail"),1,0)</f>
        <v/>
      </c>
      <c r="M21" s="53" t="inlineStr">
        <is>
          <t>No fix to prescribe yet - conduct the manual test first to confirm actual status.</t>
        </is>
      </c>
    </row>
    <row r="22" ht="15.75" customHeight="1" s="78">
      <c r="A22" s="29" t="inlineStr">
        <is>
          <t>4.1.2</t>
        </is>
      </c>
      <c r="B22" s="25" t="inlineStr">
        <is>
          <t>Name, Role, Value</t>
        </is>
      </c>
      <c r="C22" s="13" t="inlineStr">
        <is>
          <t>A</t>
        </is>
      </c>
      <c r="D22" s="29" t="inlineStr">
        <is>
          <t>Robust</t>
        </is>
      </c>
      <c r="E22" s="42" t="n">
        <v>3</v>
      </c>
      <c r="F22" s="26" t="inlineStr">
        <is>
          <t>Fail</t>
        </is>
      </c>
      <c r="G22" s="29">
        <f>IF(F22="Pass",1,IF(F22="Partial",0.5,IF(F22="Fail",0,0)))</f>
        <v/>
      </c>
      <c r="H22" s="45" t="inlineStr">
        <is>
          <t>146 controls with no accessible name, plus 8 overlapping/duplicate clickable regions that confuse role and identity.</t>
        </is>
      </c>
      <c r="I22" s="42" t="n">
        <v>154</v>
      </c>
      <c r="J22" s="29">
        <f>E22*G22</f>
        <v/>
      </c>
      <c r="K22" s="46" t="inlineStr">
        <is>
          <t>This is the core native-software criterion in WCAG2ICT: 'name, role, value' maps directly to what a platform accessibility API exposes for each control - exactly what Google Accessibility Scanner tests.</t>
        </is>
      </c>
      <c r="L22" s="29">
        <f>IF(OR(F22="Pass",F22="Partial",F22="Fail"),1,0)</f>
        <v/>
      </c>
      <c r="M22" s="64" t="inlineStr">
        <is>
          <t>Run a full pass of every custom control against the platform accessibility API to confirm name, role and state are all exposed. Separately, fix the overlapping clickable container on the home screen so the account card, quick-links grid and promo banner are distinct, correctly bounded touch/accessibility targets instead of one large parent overlapping its children.</t>
        </is>
      </c>
    </row>
    <row r="23" ht="15.75" customHeight="1" s="78">
      <c r="A23" s="15" t="inlineStr">
        <is>
          <t>1.4.3</t>
        </is>
      </c>
      <c r="B23" s="11" t="inlineStr">
        <is>
          <t>Contrast (Minimum)</t>
        </is>
      </c>
      <c r="C23" s="48" t="inlineStr">
        <is>
          <t>AA</t>
        </is>
      </c>
      <c r="D23" s="15" t="inlineStr">
        <is>
          <t>Perceivable</t>
        </is>
      </c>
      <c r="E23" s="23" t="n">
        <v>1</v>
      </c>
      <c r="F23" s="26" t="inlineStr">
        <is>
          <t>Fail</t>
        </is>
      </c>
      <c r="G23" s="15">
        <f>IF(F23="Pass",1,IF(F23="Partial",0.5,IF(F23="Fail",0,0)))</f>
        <v/>
      </c>
      <c r="H23" s="34" t="inlineStr">
        <is>
          <t>Text contrast as low as 1.06:1 and 1.11:1 measured, against a 4.5:1 requirement.</t>
        </is>
      </c>
      <c r="I23" s="23" t="n">
        <v>4</v>
      </c>
      <c r="J23" s="15">
        <f>E23*G23</f>
        <v/>
      </c>
      <c r="K23" s="39" t="inlineStr">
        <is>
          <t>Applies as written; 'text' includes native UI labels, not only web text.</t>
        </is>
      </c>
      <c r="L23" s="15">
        <f>IF(OR(F23="Pass",F23="Partial",F23="Fail"),1,0)</f>
        <v/>
      </c>
      <c r="M23" s="41" t="inlineStr">
        <is>
          <t>Raise the specific text instances measured at 1.06:1 and 1.11:1 to at least 4.5:1. This looks like a dark-theme regression (a disabled/loading text style never updated for dark mode) rather than an isolated typo - check that style across the app, not just the flagged instances.</t>
        </is>
      </c>
    </row>
    <row r="24" ht="15.75" customHeight="1" s="78">
      <c r="A24" s="29" t="inlineStr">
        <is>
          <t>1.4.4</t>
        </is>
      </c>
      <c r="B24" s="25" t="inlineStr">
        <is>
          <t>Resize Text</t>
        </is>
      </c>
      <c r="C24" s="48" t="inlineStr">
        <is>
          <t>AA</t>
        </is>
      </c>
      <c r="D24" s="29" t="inlineStr">
        <is>
          <t>Perceivable</t>
        </is>
      </c>
      <c r="E24" s="42" t="n">
        <v>1</v>
      </c>
      <c r="F24" s="50" t="inlineStr">
        <is>
          <t>Not Tested</t>
        </is>
      </c>
      <c r="G24" s="29">
        <f>IF(F24="Pass",1,IF(F24="Partial",0.5,IF(F24="Fail",0,0)))</f>
        <v/>
      </c>
      <c r="H24" s="45" t="inlineStr">
        <is>
          <t>Requires manual OS font-scaling test.</t>
        </is>
      </c>
      <c r="I24" s="42" t="inlineStr">
        <is>
          <t>-</t>
        </is>
      </c>
      <c r="J24" s="29">
        <f>E24*G24</f>
        <v/>
      </c>
      <c r="K24" s="46" t="inlineStr">
        <is>
          <t>Applies with a platform-specific mechanism: resizing happens via the OS text-scale setting rather than browser zoom.</t>
        </is>
      </c>
      <c r="L24" s="29">
        <f>IF(OR(F24="Pass",F24="Partial",F24="Fail"),1,0)</f>
        <v/>
      </c>
      <c r="M24" s="57" t="inlineStr">
        <is>
          <t>No fix to prescribe yet - conduct the manual test first to confirm actual status.</t>
        </is>
      </c>
    </row>
    <row r="25" ht="15.75" customHeight="1" s="78">
      <c r="A25" s="15" t="inlineStr">
        <is>
          <t>1.4.10</t>
        </is>
      </c>
      <c r="B25" s="11" t="inlineStr">
        <is>
          <t>Reflow</t>
        </is>
      </c>
      <c r="C25" s="48" t="inlineStr">
        <is>
          <t>AA</t>
        </is>
      </c>
      <c r="D25" s="15" t="inlineStr">
        <is>
          <t>Perceivable</t>
        </is>
      </c>
      <c r="E25" s="23" t="n">
        <v>1</v>
      </c>
      <c r="F25" s="50" t="inlineStr">
        <is>
          <t>Not Tested</t>
        </is>
      </c>
      <c r="G25" s="15">
        <f>IF(F25="Pass",1,IF(F25="Partial",0.5,IF(F25="Fail",0,0)))</f>
        <v/>
      </c>
      <c r="H25" s="34" t="inlineStr">
        <is>
          <t>Requires manual OS font-scaling / zoom test.</t>
        </is>
      </c>
      <c r="I25" s="23" t="inlineStr">
        <is>
          <t>-</t>
        </is>
      </c>
      <c r="J25" s="15">
        <f>E25*G25</f>
        <v/>
      </c>
      <c r="K25" s="39" t="inlineStr">
        <is>
          <t>WCAG2ICT notes this applies where the software supports resizing/zoom; if the app has no zoom/scale feature at all, evaluate against the OS-level scaling it does support.</t>
        </is>
      </c>
      <c r="L25" s="15">
        <f>IF(OR(F25="Pass",F25="Partial",F25="Fail"),1,0)</f>
        <v/>
      </c>
      <c r="M25" s="53" t="inlineStr">
        <is>
          <t>No fix to prescribe yet - conduct the manual test first to confirm actual status.</t>
        </is>
      </c>
    </row>
    <row r="26" ht="15.75" customHeight="1" s="78">
      <c r="A26" s="29" t="inlineStr">
        <is>
          <t>1.4.11</t>
        </is>
      </c>
      <c r="B26" s="25" t="inlineStr">
        <is>
          <t>Non-text Contrast</t>
        </is>
      </c>
      <c r="C26" s="48" t="inlineStr">
        <is>
          <t>AA</t>
        </is>
      </c>
      <c r="D26" s="29" t="inlineStr">
        <is>
          <t>Perceivable</t>
        </is>
      </c>
      <c r="E26" s="42" t="n">
        <v>2</v>
      </c>
      <c r="F26" s="26" t="inlineStr">
        <is>
          <t>Fail</t>
        </is>
      </c>
      <c r="G26" s="29">
        <f>IF(F26="Pass",1,IF(F26="Partial",0.5,IF(F26="Fail",0,0)))</f>
        <v/>
      </c>
      <c r="H26" s="45" t="inlineStr">
        <is>
          <t>Recurring ~2.74:1 icon contrast (bottom navigation, quick links) against a 3.0:1 minimum.</t>
        </is>
      </c>
      <c r="I26" s="42" t="n">
        <v>131</v>
      </c>
      <c r="J26" s="29">
        <f>E26*G26</f>
        <v/>
      </c>
      <c r="K26" s="46" t="inlineStr">
        <is>
          <t>Applies as written to native icons and UI component boundaries.</t>
        </is>
      </c>
      <c r="L26" s="29">
        <f>IF(OR(F26="Pass",F26="Partial",F26="Fail"),1,0)</f>
        <v/>
      </c>
      <c r="M26" s="64" t="inlineStr">
        <is>
          <t>Change the recurring icon colour pair (~#566273 on #161D26, 2.74:1), used across the bottom navigation and quick-link icons, to a combination reaching at least 3.0:1 - e.g. lighten the icon foreground colour.</t>
        </is>
      </c>
    </row>
    <row r="27" ht="15.75" customHeight="1" s="78">
      <c r="A27" s="15" t="inlineStr">
        <is>
          <t>2.4.6</t>
        </is>
      </c>
      <c r="B27" s="11" t="inlineStr">
        <is>
          <t>Headings and Labels</t>
        </is>
      </c>
      <c r="C27" s="48" t="inlineStr">
        <is>
          <t>AA</t>
        </is>
      </c>
      <c r="D27" s="15" t="inlineStr">
        <is>
          <t>Operable</t>
        </is>
      </c>
      <c r="E27" s="23" t="n">
        <v>1</v>
      </c>
      <c r="F27" s="54" t="inlineStr">
        <is>
          <t>Pass</t>
        </is>
      </c>
      <c r="G27" s="15">
        <f>IF(F27="Pass",1,IF(F27="Partial",0.5,IF(F27="Fail",0,0)))</f>
        <v/>
      </c>
      <c r="H27" s="34" t="inlineStr">
        <is>
          <t>Screen titles are present and descriptive (Mobile money, Confirm transfer, Savings, Pay).</t>
        </is>
      </c>
      <c r="I27" s="23" t="inlineStr">
        <is>
          <t>-</t>
        </is>
      </c>
      <c r="J27" s="15">
        <f>E27*G27</f>
        <v/>
      </c>
      <c r="K27" s="39" t="inlineStr">
        <is>
          <t>'Web page' -&gt; 'screen/view'; each screen and section needs a descriptive, programmatically exposed title/heading.</t>
        </is>
      </c>
      <c r="L27" s="15">
        <f>IF(OR(F27="Pass",F27="Partial",F27="Fail"),1,0)</f>
        <v/>
      </c>
      <c r="M27" s="53" t="inlineStr">
        <is>
          <t>No action needed on current evidence.</t>
        </is>
      </c>
    </row>
    <row r="28" ht="15.75" customHeight="1" s="78">
      <c r="A28" s="29" t="inlineStr">
        <is>
          <t>2.4.7</t>
        </is>
      </c>
      <c r="B28" s="25" t="inlineStr">
        <is>
          <t>Focus Visible</t>
        </is>
      </c>
      <c r="C28" s="48" t="inlineStr">
        <is>
          <t>AA</t>
        </is>
      </c>
      <c r="D28" s="29" t="inlineStr">
        <is>
          <t>Operable</t>
        </is>
      </c>
      <c r="E28" s="42" t="n">
        <v>1</v>
      </c>
      <c r="F28" s="50" t="inlineStr">
        <is>
          <t>Not Tested</t>
        </is>
      </c>
      <c r="G28" s="29">
        <f>IF(F28="Pass",1,IF(F28="Partial",0.5,IF(F28="Fail",0,0)))</f>
        <v/>
      </c>
      <c r="H28" s="45" t="inlineStr">
        <is>
          <t>Requires manual keyboard/switch focus-indicator testing.</t>
        </is>
      </c>
      <c r="I28" s="42" t="inlineStr">
        <is>
          <t>-</t>
        </is>
      </c>
      <c r="J28" s="29">
        <f>E28*G28</f>
        <v/>
      </c>
      <c r="K28" s="46" t="inlineStr">
        <is>
          <t>Applies where the platform supports a visible focus indicator (external keyboard, Switch Access, D-pad); not exercised by pure touch/screen-reader use, so needs manual testing on the relevant input mode.</t>
        </is>
      </c>
      <c r="L28" s="29">
        <f>IF(OR(F28="Pass",F28="Partial",F28="Fail"),1,0)</f>
        <v/>
      </c>
      <c r="M28" s="57" t="inlineStr">
        <is>
          <t>No fix to prescribe yet - conduct the manual test first to confirm actual status.</t>
        </is>
      </c>
    </row>
    <row r="29" ht="15.75" customHeight="1" s="78">
      <c r="A29" s="15" t="inlineStr">
        <is>
          <t>2.5.8</t>
        </is>
      </c>
      <c r="B29" s="11" t="inlineStr">
        <is>
          <t>Target Size (Minimum, 24x24px)</t>
        </is>
      </c>
      <c r="C29" s="48" t="inlineStr">
        <is>
          <t>AA</t>
        </is>
      </c>
      <c r="D29" s="15" t="inlineStr">
        <is>
          <t>Operable</t>
        </is>
      </c>
      <c r="E29" s="23" t="n">
        <v>2</v>
      </c>
      <c r="F29" s="43" t="inlineStr">
        <is>
          <t>Partial</t>
        </is>
      </c>
      <c r="G29" s="15">
        <f>IF(F29="Pass",1,IF(F29="Partial",0.5,IF(F29="Fail",0,0)))</f>
        <v/>
      </c>
      <c r="H29" s="34" t="inlineStr">
        <is>
          <t>Most flagged targets (32-41dp) clear WCAG's 24px floor, but several (24-26dp height) do not.</t>
        </is>
      </c>
      <c r="I29" s="23" t="n">
        <v>246</v>
      </c>
      <c r="J29" s="15">
        <f>E29*G29</f>
        <v/>
      </c>
      <c r="K29" s="39" t="inlineStr">
        <is>
          <t>Applies as written to native touch targets; note platform guidance (Android 48dp, Apple 44pt) is stricter than WCAG's own 24px floor - both are reported here.</t>
        </is>
      </c>
      <c r="L29" s="15">
        <f>IF(OR(F29="Pass",F29="Partial",F29="Fail"),1,0)</f>
        <v/>
      </c>
      <c r="M29" s="62" t="inlineStr">
        <is>
          <t>Increase the specific undersized targets (24-26dp height items, e.g. the back button and hide-balance icon) to clear the WCAG 24px floor, and ideally Android's 48dp guideline.</t>
        </is>
      </c>
    </row>
    <row r="30" ht="15.75" customHeight="1" s="78">
      <c r="A30" s="29" t="inlineStr">
        <is>
          <t>3.2.4</t>
        </is>
      </c>
      <c r="B30" s="25" t="inlineStr">
        <is>
          <t>Consistent Identification</t>
        </is>
      </c>
      <c r="C30" s="48" t="inlineStr">
        <is>
          <t>AA</t>
        </is>
      </c>
      <c r="D30" s="29" t="inlineStr">
        <is>
          <t>Understandable</t>
        </is>
      </c>
      <c r="E30" s="42" t="n">
        <v>0</v>
      </c>
      <c r="F30" s="65" t="inlineStr">
        <is>
          <t>N/A</t>
        </is>
      </c>
      <c r="G30" s="29">
        <f>IF(F30="Pass",1,IF(F30="Partial",0.5,IF(F30="Fail",0,0)))</f>
        <v/>
      </c>
      <c r="H30" s="45" t="inlineStr">
        <is>
          <t>Excluded per Section 508 and EN 301 549, which both state (building on WCAG2ICT) that this criterion does not apply to non-web software. Retained here as a visible N/A rather than silently dropped.</t>
        </is>
      </c>
      <c r="I30" s="42" t="inlineStr">
        <is>
          <t>-</t>
        </is>
      </c>
      <c r="J30" s="29">
        <f>E30*G30</f>
        <v/>
      </c>
      <c r="K30" s="46" t="inlineStr">
        <is>
          <t>Explicitly excluded for non-web software by Section 508 and EN 301 549 - not scored.</t>
        </is>
      </c>
      <c r="L30" s="29">
        <f>IF(OR(F30="Pass",F30="Partial",F30="Fail"),1,0)</f>
        <v/>
      </c>
      <c r="M30" s="57" t="inlineStr">
        <is>
          <t>Not applicable - excluded for non-web software.</t>
        </is>
      </c>
    </row>
    <row r="31" ht="15.75" customHeight="1" s="78">
      <c r="A31" s="15" t="inlineStr">
        <is>
          <t>3.3.3</t>
        </is>
      </c>
      <c r="B31" s="11" t="inlineStr">
        <is>
          <t>Error Suggestion</t>
        </is>
      </c>
      <c r="C31" s="48" t="inlineStr">
        <is>
          <t>AA</t>
        </is>
      </c>
      <c r="D31" s="15" t="inlineStr">
        <is>
          <t>Understandable</t>
        </is>
      </c>
      <c r="E31" s="23" t="n">
        <v>1</v>
      </c>
      <c r="F31" s="50" t="inlineStr">
        <is>
          <t>Not Tested</t>
        </is>
      </c>
      <c r="G31" s="15">
        <f>IF(F31="Pass",1,IF(F31="Partial",0.5,IF(F31="Fail",0,0)))</f>
        <v/>
      </c>
      <c r="H31" s="34" t="inlineStr">
        <is>
          <t>Requires manual review of validation-message wording and exposure.</t>
        </is>
      </c>
      <c r="I31" s="23" t="inlineStr">
        <is>
          <t>-</t>
        </is>
      </c>
      <c r="J31" s="15">
        <f>E31*G31</f>
        <v/>
      </c>
      <c r="K31" s="39" t="inlineStr">
        <is>
          <t>Applies as written.</t>
        </is>
      </c>
      <c r="L31" s="15">
        <f>IF(OR(F31="Pass",F31="Partial",F31="Fail"),1,0)</f>
        <v/>
      </c>
      <c r="M31" s="53" t="inlineStr">
        <is>
          <t>No fix to prescribe yet - conduct the manual test first to confirm actual status.</t>
        </is>
      </c>
    </row>
    <row r="32" ht="15.75" customHeight="1" s="78">
      <c r="A32" s="29" t="inlineStr">
        <is>
          <t>3.3.4</t>
        </is>
      </c>
      <c r="B32" s="25" t="inlineStr">
        <is>
          <t>Error Prevention (Legal, Financial, Data)</t>
        </is>
      </c>
      <c r="C32" s="48" t="inlineStr">
        <is>
          <t>AA</t>
        </is>
      </c>
      <c r="D32" s="29" t="inlineStr">
        <is>
          <t>Understandable</t>
        </is>
      </c>
      <c r="E32" s="42" t="n">
        <v>3</v>
      </c>
      <c r="F32" s="43" t="inlineStr">
        <is>
          <t>Partial</t>
        </is>
      </c>
      <c r="G32" s="29">
        <f>IF(F32="Pass",1,IF(F32="Partial",0.5,IF(F32="Fail",0,0)))</f>
        <v/>
      </c>
      <c r="H32" s="45" t="inlineStr">
        <is>
          <t>A Confirm-Transfer review step exists, but its fields are not confirmed screen-reader accessible - undermining the safeguard for blind users specifically.</t>
        </is>
      </c>
      <c r="I32" s="42" t="inlineStr">
        <is>
          <t>-</t>
        </is>
      </c>
      <c r="J32" s="29">
        <f>E32*G32</f>
        <v/>
      </c>
      <c r="K32" s="46" t="inlineStr">
        <is>
          <t>Applies as written and is squarely about transactions ('legal commitments, financial transactions'); directly relevant to this app's core function.</t>
        </is>
      </c>
      <c r="L32" s="29">
        <f>IF(OR(F32="Pass",F32="Partial",F32="Fail"),1,0)</f>
        <v/>
      </c>
      <c r="M32" s="47" t="inlineStr">
        <is>
          <t>Fix the underlying labelling of the Confirm Transfer screen (see 4.1.2 / 3.3.2 above) so the review-before-send safeguard that already exists visually actually functions for a screen-reader user, not only a sighted one.</t>
        </is>
      </c>
    </row>
    <row r="33" ht="15.75" customHeight="1" s="78">
      <c r="A33" s="15" t="inlineStr">
        <is>
          <t>3.3.7</t>
        </is>
      </c>
      <c r="B33" s="11" t="inlineStr">
        <is>
          <t>Accessible Authentication (Minimum)</t>
        </is>
      </c>
      <c r="C33" s="48" t="inlineStr">
        <is>
          <t>AA</t>
        </is>
      </c>
      <c r="D33" s="15" t="inlineStr">
        <is>
          <t>Understandable</t>
        </is>
      </c>
      <c r="E33" s="23" t="n">
        <v>3</v>
      </c>
      <c r="F33" s="26" t="inlineStr">
        <is>
          <t>Fail</t>
        </is>
      </c>
      <c r="G33" s="15">
        <f>IF(F33="Pass",1,IF(F33="Partial",0.5,IF(F33="Fail",0,0)))</f>
        <v/>
      </c>
      <c r="H33" s="34" t="inlineStr">
        <is>
          <t>PIN-only login via an on-screen numeric pad; no evidence of a non-visually-broadcast or biometric-first alternative.</t>
        </is>
      </c>
      <c r="I33" s="23" t="inlineStr">
        <is>
          <t>-</t>
        </is>
      </c>
      <c r="J33" s="15">
        <f>E33*G33</f>
        <v/>
      </c>
      <c r="K33" s="39" t="inlineStr">
        <is>
          <t>Applies as written; added in WCAG 2.2 with no web-specific terms to reinterpret.</t>
        </is>
      </c>
      <c r="L33" s="15">
        <f>IF(OR(F33="Pass",F33="Partial",F33="Fail"),1,0)</f>
        <v/>
      </c>
      <c r="M33" s="41" t="inlineStr">
        <is>
          <t>Offer biometric login (fingerprint/face) as the primary sign-in method, with a screen-reader-safe fallback (e.g. a PIN pad where entry is not spoken aloud digit-by-digit, or a headphone-routed confirmation) rather than a passcode pad that always broadcasts each digit.</t>
        </is>
      </c>
    </row>
    <row r="34" ht="15.75" customHeight="1" s="78">
      <c r="A34" s="29" t="inlineStr">
        <is>
          <t>4.1.3</t>
        </is>
      </c>
      <c r="B34" s="25" t="inlineStr">
        <is>
          <t>Status Messages</t>
        </is>
      </c>
      <c r="C34" s="48" t="inlineStr">
        <is>
          <t>AA</t>
        </is>
      </c>
      <c r="D34" s="29" t="inlineStr">
        <is>
          <t>Robust</t>
        </is>
      </c>
      <c r="E34" s="42" t="n">
        <v>3</v>
      </c>
      <c r="F34" s="50" t="inlineStr">
        <is>
          <t>Not Tested</t>
        </is>
      </c>
      <c r="G34" s="29">
        <f>IF(F34="Pass",1,IF(F34="Partial",0.5,IF(F34="Fail",0,0)))</f>
        <v/>
      </c>
      <c r="H34" s="45" t="inlineStr">
        <is>
          <t>Requires manual testing of transaction success/failure toast announcements.</t>
        </is>
      </c>
      <c r="I34" s="42" t="inlineStr">
        <is>
          <t>-</t>
        </is>
      </c>
      <c r="J34" s="29">
        <f>E34*G34</f>
        <v/>
      </c>
      <c r="K34" s="46" t="inlineStr">
        <is>
          <t>'Programmatically determined through role or properties' -&gt; exposed via the accessibility API's live-region/announcement mechanism (e.g. Android AccessibilityEvent) so a status change is spoken without moving focus.</t>
        </is>
      </c>
      <c r="L34" s="29">
        <f>IF(OR(F34="Pass",F34="Partial",F34="Fail"),1,0)</f>
        <v/>
      </c>
      <c r="M34" s="57" t="inlineStr">
        <is>
          <t>No fix to prescribe yet - conduct the manual test first to confirm actual status.</t>
        </is>
      </c>
    </row>
    <row r="35" ht="15.75" customHeight="1" s="78">
      <c r="A35" s="15" t="inlineStr">
        <is>
          <t>2.2.1</t>
        </is>
      </c>
      <c r="B35" s="11" t="inlineStr">
        <is>
          <t>Timing Adjustable</t>
        </is>
      </c>
      <c r="C35" s="13" t="inlineStr">
        <is>
          <t>A</t>
        </is>
      </c>
      <c r="D35" s="15" t="inlineStr">
        <is>
          <t>Operable</t>
        </is>
      </c>
      <c r="E35" s="23" t="n">
        <v>3</v>
      </c>
      <c r="F35" s="50" t="inlineStr">
        <is>
          <t>Not Tested</t>
        </is>
      </c>
      <c r="G35" s="15">
        <f>IF(F35="Pass",1,IF(F35="Partial",0.5,IF(F35="Fail",0,0)))</f>
        <v/>
      </c>
      <c r="H35" s="34" t="inlineStr">
        <is>
          <t>Requires manual test: can a screen-reader user extend/disable any time limit on OTP entry, session timeout, or transfer confirmation?</t>
        </is>
      </c>
      <c r="I35" s="23" t="inlineStr">
        <is>
          <t>-</t>
        </is>
      </c>
      <c r="J35" s="15">
        <f>E35*G35</f>
        <v/>
      </c>
      <c r="K35" s="39" t="inlineStr">
        <is>
          <t>Applies as written; particularly relevant to native software session timeouts and OTP countdown timers.</t>
        </is>
      </c>
      <c r="L35" s="15">
        <f>IF(OR(F35="Pass",F35="Partial",F35="Fail"),1,0)</f>
        <v/>
      </c>
      <c r="M35" s="53" t="inlineStr">
        <is>
          <t>No fix to prescribe yet - conduct the manual test first to confirm actual status.</t>
        </is>
      </c>
    </row>
    <row r="36" ht="15.75" customHeight="1" s="78">
      <c r="A36" s="29" t="inlineStr">
        <is>
          <t>2.2.6</t>
        </is>
      </c>
      <c r="B36" s="25" t="inlineStr">
        <is>
          <t>Timeouts (warn of data loss)</t>
        </is>
      </c>
      <c r="C36" s="50" t="inlineStr">
        <is>
          <t>AAA</t>
        </is>
      </c>
      <c r="D36" s="29" t="inlineStr">
        <is>
          <t>Operable</t>
        </is>
      </c>
      <c r="E36" s="42" t="n">
        <v>1</v>
      </c>
      <c r="F36" s="50" t="inlineStr">
        <is>
          <t>Not Tested</t>
        </is>
      </c>
      <c r="G36" s="29">
        <f>IF(F36="Pass",1,IF(F36="Partial",0.5,IF(F36="Fail",0,0)))</f>
        <v/>
      </c>
      <c r="H36" s="45" t="inlineStr">
        <is>
          <t>Requires manual test: is the user warned before a timed-out session discards an in-progress transaction?</t>
        </is>
      </c>
      <c r="I36" s="42" t="inlineStr">
        <is>
          <t>-</t>
        </is>
      </c>
      <c r="J36" s="29">
        <f>E36*G36</f>
        <v/>
      </c>
      <c r="K36" s="46" t="inlineStr">
        <is>
          <t>Applies as written.</t>
        </is>
      </c>
      <c r="L36" s="29">
        <f>IF(OR(F36="Pass",F36="Partial",F36="Fail"),1,0)</f>
        <v/>
      </c>
      <c r="M36" s="57" t="inlineStr">
        <is>
          <t>No fix to prescribe yet - conduct the manual test first to confirm actual status.</t>
        </is>
      </c>
    </row>
    <row r="37" ht="15.75" customHeight="1" s="78">
      <c r="A37" s="15" t="inlineStr">
        <is>
          <t>2.5.5</t>
        </is>
      </c>
      <c r="B37" s="11" t="inlineStr">
        <is>
          <t>Target Size (Enhanced, 44x44px)</t>
        </is>
      </c>
      <c r="C37" s="50" t="inlineStr">
        <is>
          <t>AAA</t>
        </is>
      </c>
      <c r="D37" s="15" t="inlineStr">
        <is>
          <t>Operable</t>
        </is>
      </c>
      <c r="E37" s="23" t="n">
        <v>1</v>
      </c>
      <c r="F37" s="26" t="inlineStr">
        <is>
          <t>Fail</t>
        </is>
      </c>
      <c r="G37" s="15">
        <f>IF(F37="Pass",1,IF(F37="Partial",0.5,IF(F37="Fail",0,0)))</f>
        <v/>
      </c>
      <c r="H37" s="34" t="inlineStr">
        <is>
          <t>The majority of flagged targets (32-41dp) fall below the 44px enhanced minimum.</t>
        </is>
      </c>
      <c r="I37" s="23" t="n">
        <v>246</v>
      </c>
      <c r="J37" s="15">
        <f>E37*G37</f>
        <v/>
      </c>
      <c r="K37" s="39" t="inlineStr">
        <is>
          <t>Applies as written to native touch targets.</t>
        </is>
      </c>
      <c r="L37" s="15">
        <f>IF(OR(F37="Pass",F37="Partial",F37="Fail"),1,0)</f>
        <v/>
      </c>
      <c r="M37" s="41" t="inlineStr">
        <is>
          <t>Where feasible, increase touch targets to at least 44x44px (ideally Android's 48dp) - prioritise the back arrow, hide-balance icon and quick-link icons, which are the most frequently used controls in the app.</t>
        </is>
      </c>
    </row>
    <row r="38" ht="15.75" customHeight="1" s="78">
      <c r="A38" s="29" t="inlineStr">
        <is>
          <t>3.3.6</t>
        </is>
      </c>
      <c r="B38" s="25" t="inlineStr">
        <is>
          <t>Error Prevention (All)</t>
        </is>
      </c>
      <c r="C38" s="50" t="inlineStr">
        <is>
          <t>AAA</t>
        </is>
      </c>
      <c r="D38" s="29" t="inlineStr">
        <is>
          <t>Understandable</t>
        </is>
      </c>
      <c r="E38" s="42" t="n">
        <v>1</v>
      </c>
      <c r="F38" s="50" t="inlineStr">
        <is>
          <t>Not Tested</t>
        </is>
      </c>
      <c r="G38" s="29">
        <f>IF(F38="Pass",1,IF(F38="Partial",0.5,IF(F38="Fail",0,0)))</f>
        <v/>
      </c>
      <c r="H38" s="45" t="inlineStr">
        <is>
          <t>Requires manual review across all transactional flows.</t>
        </is>
      </c>
      <c r="I38" s="42" t="inlineStr">
        <is>
          <t>-</t>
        </is>
      </c>
      <c r="J38" s="29">
        <f>E38*G38</f>
        <v/>
      </c>
      <c r="K38" s="46" t="inlineStr">
        <is>
          <t>Applies as written.</t>
        </is>
      </c>
      <c r="L38" s="29">
        <f>IF(OR(F38="Pass",F38="Partial",F38="Fail"),1,0)</f>
        <v/>
      </c>
      <c r="M38" s="57" t="inlineStr">
        <is>
          <t>No fix to prescribe yet - conduct the manual test first to confirm actual status.</t>
        </is>
      </c>
    </row>
    <row r="39" ht="15.75" customHeight="1" s="78">
      <c r="A39" s="15" t="inlineStr">
        <is>
          <t>3.3.8</t>
        </is>
      </c>
      <c r="B39" s="11" t="inlineStr">
        <is>
          <t>Accessible Authentication (Enhanced)</t>
        </is>
      </c>
      <c r="C39" s="50" t="inlineStr">
        <is>
          <t>AAA</t>
        </is>
      </c>
      <c r="D39" s="15" t="inlineStr">
        <is>
          <t>Understandable</t>
        </is>
      </c>
      <c r="E39" s="23" t="n">
        <v>1</v>
      </c>
      <c r="F39" s="26" t="inlineStr">
        <is>
          <t>Fail</t>
        </is>
      </c>
      <c r="G39" s="15">
        <f>IF(F39="Pass",1,IF(F39="Partial",0.5,IF(F39="Fail",0,0)))</f>
        <v/>
      </c>
      <c r="H39" s="34" t="inlineStr">
        <is>
          <t>No cognitive-function-test-free login alternative confirmed.</t>
        </is>
      </c>
      <c r="I39" s="23" t="inlineStr">
        <is>
          <t>-</t>
        </is>
      </c>
      <c r="J39" s="15">
        <f>E39*G39</f>
        <v/>
      </c>
      <c r="K39" s="39" t="inlineStr">
        <is>
          <t>Applies as written; added in WCAG 2.2.</t>
        </is>
      </c>
      <c r="L39" s="15">
        <f>IF(OR(F39="Pass",F39="Partial",F39="Fail"),1,0)</f>
        <v/>
      </c>
      <c r="M39" s="41" t="inlineStr">
        <is>
          <t>As the enhanced version of the 3.3.7 fix: remove the cognitive-function-test requirement from routine sign-in entirely where possible, reserving PIN entry for account recovery only once biometric login is the default path.</t>
        </is>
      </c>
    </row>
    <row r="40" ht="15.75" customHeight="1" s="78"/>
    <row r="41" ht="15.75" customHeight="1" s="78">
      <c r="A41" s="91" t="inlineStr">
        <is>
          <t>SCORE SUMMARY</t>
        </is>
      </c>
      <c r="B41" s="92" t="n"/>
      <c r="C41" s="92" t="n"/>
      <c r="D41" s="92" t="n"/>
      <c r="E41" s="92" t="n"/>
      <c r="F41" s="93" t="n"/>
    </row>
    <row r="42" ht="15.75" customHeight="1" s="78">
      <c r="A42" s="94" t="inlineStr">
        <is>
          <t>Weighted score achieved (sum)</t>
        </is>
      </c>
      <c r="B42" s="92" t="n"/>
      <c r="C42" s="92" t="n"/>
      <c r="D42" s="93" t="n"/>
      <c r="E42" s="29">
        <f>SUM(J5:J39)</f>
        <v/>
      </c>
      <c r="F42" s="93" t="n"/>
    </row>
    <row r="43" ht="15.75" customHeight="1" s="78">
      <c r="A43" s="94" t="inlineStr">
        <is>
          <t>Weighted score possible (tested criteria only)</t>
        </is>
      </c>
      <c r="B43" s="92" t="n"/>
      <c r="C43" s="92" t="n"/>
      <c r="D43" s="93" t="n"/>
      <c r="E43" s="29">
        <f>SUMPRODUCT(L5:L39*E5:E39)</f>
        <v/>
      </c>
      <c r="F43" s="93" t="n"/>
    </row>
    <row r="44" ht="15.75" customHeight="1" s="78">
      <c r="A44" s="95" t="inlineStr">
        <is>
          <t>OVERALL ACCESSIBILITY SCORE (0-100)</t>
        </is>
      </c>
      <c r="B44" s="92" t="n"/>
      <c r="C44" s="92" t="n"/>
      <c r="D44" s="93" t="n"/>
      <c r="E44" s="96">
        <f>IFERROR(E42/E43*100,0)</f>
        <v/>
      </c>
      <c r="F44" s="93" t="n"/>
    </row>
    <row r="45" ht="15.75" customHeight="1" s="78">
      <c r="A45" s="94" t="inlineStr">
        <is>
          <t>Level A conformance %</t>
        </is>
      </c>
      <c r="B45" s="92" t="n"/>
      <c r="C45" s="92" t="n"/>
      <c r="D45" s="93" t="n"/>
      <c r="E45" s="97">
        <f>IFERROR(SUMPRODUCT((C5:C39="A")*L5:L39*J5:J39)/SUMPRODUCT((C5:C39="A")*L5:L39*E5:E39)*100,0)</f>
        <v/>
      </c>
      <c r="F45" s="93" t="n"/>
    </row>
    <row r="46" ht="15.75" customHeight="1" s="78">
      <c r="A46" s="94" t="inlineStr">
        <is>
          <t>Level AA conformance % (A+AA criteria)</t>
        </is>
      </c>
      <c r="B46" s="92" t="n"/>
      <c r="C46" s="92" t="n"/>
      <c r="D46" s="93" t="n"/>
      <c r="E46" s="97">
        <f>IFERROR(SUMPRODUCT(((C5:C39="A")+(C5:C39="AA"))*L5:L39*J5:J39)/SUMPRODUCT(((C5:C39="A")+(C5:C39="AA"))*L5:L39*E5:E39)*100,0)</f>
        <v/>
      </c>
      <c r="F46" s="93" t="n"/>
    </row>
    <row r="47" ht="15.75" customHeight="1" s="78">
      <c r="A47" s="94" t="inlineStr">
        <is>
          <t>Criteria rated Fail (count)</t>
        </is>
      </c>
      <c r="B47" s="92" t="n"/>
      <c r="C47" s="92" t="n"/>
      <c r="D47" s="93" t="n"/>
      <c r="E47" s="29">
        <f>COUNTIF(F5:F39,"Fail")</f>
        <v/>
      </c>
      <c r="F47" s="93" t="n"/>
    </row>
    <row r="48" ht="15.75" customHeight="1" s="78">
      <c r="A48" s="94" t="inlineStr">
        <is>
          <t>Criteria rated Not Tested / N/A (count, need manual audit)</t>
        </is>
      </c>
      <c r="B48" s="92" t="n"/>
      <c r="C48" s="92" t="n"/>
      <c r="D48" s="93" t="n"/>
      <c r="E48" s="29">
        <f>COUNTIF(F5:F39,"Not Tested")+COUNTIF(F5:F39,"N/A")</f>
        <v/>
      </c>
      <c r="F48" s="93" t="n"/>
    </row>
    <row r="49" ht="15.75" customHeight="1" s="78">
      <c r="A49" s="95" t="inlineStr">
        <is>
          <t>Rating band</t>
        </is>
      </c>
      <c r="B49" s="92" t="n"/>
      <c r="C49" s="92" t="n"/>
      <c r="D49" s="93" t="n"/>
      <c r="E49" s="22">
        <f>IF(E44&gt;=90,"Level AA-aligned",IF(E44&gt;=75,"Substantially accessible",IF(E44&gt;=50,"Partially accessible - significant barriers",IF(E44&gt;=25,"Largely inaccessible","Inaccessible / excludes blind users"))))</f>
        <v/>
      </c>
      <c r="F49" s="93" t="n"/>
    </row>
    <row r="50" ht="15.75" customHeight="1" s="78"/>
    <row r="51" ht="15.75" customHeight="1" s="78"/>
    <row r="52" ht="15.75" customHeight="1" s="78"/>
    <row r="53" ht="15.75" customHeight="1" s="78"/>
    <row r="54" ht="15.75" customHeight="1" s="78"/>
    <row r="55" ht="15.75" customHeight="1" s="78"/>
    <row r="56" ht="15.75" customHeight="1" s="78"/>
    <row r="57" ht="15.75" customHeight="1" s="78"/>
    <row r="58" ht="15.75" customHeight="1" s="78"/>
    <row r="59" ht="15.75" customHeight="1" s="78"/>
    <row r="60" ht="15.75" customHeight="1" s="78"/>
    <row r="61" ht="15.75" customHeight="1" s="78"/>
    <row r="62" ht="15.75" customHeight="1" s="78"/>
    <row r="63" ht="15.75" customHeight="1" s="78"/>
    <row r="64" ht="15.75" customHeight="1" s="78"/>
    <row r="65" ht="15.75" customHeight="1" s="78"/>
    <row r="66" ht="15.75" customHeight="1" s="78"/>
    <row r="67" ht="15.75" customHeight="1" s="78"/>
    <row r="68" ht="15.75" customHeight="1" s="78"/>
    <row r="69" ht="15.75" customHeight="1" s="78"/>
    <row r="70" ht="15.75" customHeight="1" s="78"/>
    <row r="71" ht="15.75" customHeight="1" s="78"/>
    <row r="72" ht="15.75" customHeight="1" s="78"/>
    <row r="73" ht="15.75" customHeight="1" s="78"/>
    <row r="74" ht="15.75" customHeight="1" s="78"/>
    <row r="75" ht="15.75" customHeight="1" s="78"/>
    <row r="76" ht="15.75" customHeight="1" s="78"/>
    <row r="77" ht="15.75" customHeight="1" s="78"/>
    <row r="78" ht="15.75" customHeight="1" s="78"/>
    <row r="79" ht="15.75" customHeight="1" s="78"/>
    <row r="80" ht="15.75" customHeight="1" s="78"/>
    <row r="81" ht="15.75" customHeight="1" s="78"/>
    <row r="82" ht="15.75" customHeight="1" s="78"/>
    <row r="83" ht="15.75" customHeight="1" s="78"/>
    <row r="84" ht="15.75" customHeight="1" s="78"/>
    <row r="85" ht="15.75" customHeight="1" s="78"/>
    <row r="86" ht="15.75" customHeight="1" s="78"/>
    <row r="87" ht="15.75" customHeight="1" s="78"/>
    <row r="88" ht="15.75" customHeight="1" s="78"/>
    <row r="89" ht="15.75" customHeight="1" s="78"/>
    <row r="90" ht="15.75" customHeight="1" s="78"/>
    <row r="91" ht="15.75" customHeight="1" s="78"/>
    <row r="92" ht="15.75" customHeight="1" s="78"/>
    <row r="93" ht="15.75" customHeight="1" s="78"/>
    <row r="94" ht="15.75" customHeight="1" s="78"/>
    <row r="95" ht="15.75" customHeight="1" s="78"/>
    <row r="96" ht="15.75" customHeight="1" s="78"/>
    <row r="97" ht="15.75" customHeight="1" s="78"/>
    <row r="98" ht="15.75" customHeight="1" s="78"/>
    <row r="99" ht="15.75" customHeight="1" s="78"/>
    <row r="100" ht="15.75" customHeight="1" s="78"/>
    <row r="101" ht="15.75" customHeight="1" s="78"/>
    <row r="102" ht="15.75" customHeight="1" s="78"/>
    <row r="103" ht="15.75" customHeight="1" s="78"/>
    <row r="104" ht="15.75" customHeight="1" s="78"/>
    <row r="105" ht="15.75" customHeight="1" s="78"/>
    <row r="106" ht="15.75" customHeight="1" s="78"/>
    <row r="107" ht="15.75" customHeight="1" s="78"/>
    <row r="108" ht="15.75" customHeight="1" s="78"/>
    <row r="109" ht="15.75" customHeight="1" s="78"/>
    <row r="110" ht="15.75" customHeight="1" s="78"/>
    <row r="111" ht="15.75" customHeight="1" s="78"/>
    <row r="112" ht="15.75" customHeight="1" s="78"/>
    <row r="113" ht="15.75" customHeight="1" s="78"/>
    <row r="114" ht="15.75" customHeight="1" s="78"/>
    <row r="115" ht="15.75" customHeight="1" s="78"/>
    <row r="116" ht="15.75" customHeight="1" s="78"/>
    <row r="117" ht="15.75" customHeight="1" s="78"/>
    <row r="118" ht="15.75" customHeight="1" s="78"/>
    <row r="119" ht="15.75" customHeight="1" s="78"/>
    <row r="120" ht="15.75" customHeight="1" s="78"/>
    <row r="121" ht="15.75" customHeight="1" s="78"/>
    <row r="122" ht="15.75" customHeight="1" s="78"/>
    <row r="123" ht="15.75" customHeight="1" s="78"/>
    <row r="124" ht="15.75" customHeight="1" s="78"/>
    <row r="125" ht="15.75" customHeight="1" s="78"/>
    <row r="126" ht="15.75" customHeight="1" s="78"/>
    <row r="127" ht="15.75" customHeight="1" s="78"/>
    <row r="128" ht="15.75" customHeight="1" s="78"/>
    <row r="129" ht="15.75" customHeight="1" s="78"/>
    <row r="130" ht="15.75" customHeight="1" s="78"/>
    <row r="131" ht="15.75" customHeight="1" s="78"/>
    <row r="132" ht="15.75" customHeight="1" s="78"/>
    <row r="133" ht="15.75" customHeight="1" s="78"/>
    <row r="134" ht="15.75" customHeight="1" s="78"/>
    <row r="135" ht="15.75" customHeight="1" s="78"/>
    <row r="136" ht="15.75" customHeight="1" s="78"/>
    <row r="137" ht="15.75" customHeight="1" s="78"/>
    <row r="138" ht="15.75" customHeight="1" s="78"/>
    <row r="139" ht="15.75" customHeight="1" s="78"/>
    <row r="140" ht="15.75" customHeight="1" s="78"/>
    <row r="141" ht="15.75" customHeight="1" s="78"/>
    <row r="142" ht="15.75" customHeight="1" s="78"/>
    <row r="143" ht="15.75" customHeight="1" s="78"/>
    <row r="144" ht="15.75" customHeight="1" s="78"/>
    <row r="145" ht="15.75" customHeight="1" s="78"/>
    <row r="146" ht="15.75" customHeight="1" s="78"/>
    <row r="147" ht="15.75" customHeight="1" s="78"/>
    <row r="148" ht="15.75" customHeight="1" s="78"/>
    <row r="149" ht="15.75" customHeight="1" s="78"/>
    <row r="150" ht="15.75" customHeight="1" s="78"/>
    <row r="151" ht="15.75" customHeight="1" s="78"/>
    <row r="152" ht="15.75" customHeight="1" s="78"/>
    <row r="153" ht="15.75" customHeight="1" s="78"/>
    <row r="154" ht="15.75" customHeight="1" s="78"/>
    <row r="155" ht="15.75" customHeight="1" s="78"/>
    <row r="156" ht="15.75" customHeight="1" s="78"/>
    <row r="157" ht="15.75" customHeight="1" s="78"/>
    <row r="158" ht="15.75" customHeight="1" s="78"/>
    <row r="159" ht="15.75" customHeight="1" s="78"/>
    <row r="160" ht="15.75" customHeight="1" s="78"/>
    <row r="161" ht="15.75" customHeight="1" s="78"/>
    <row r="162" ht="15.75" customHeight="1" s="78"/>
    <row r="163" ht="15.75" customHeight="1" s="78"/>
    <row r="164" ht="15.75" customHeight="1" s="78"/>
    <row r="165" ht="15.75" customHeight="1" s="78"/>
    <row r="166" ht="15.75" customHeight="1" s="78"/>
    <row r="167" ht="15.75" customHeight="1" s="78"/>
    <row r="168" ht="15.75" customHeight="1" s="78"/>
    <row r="169" ht="15.75" customHeight="1" s="78"/>
    <row r="170" ht="15.75" customHeight="1" s="78"/>
    <row r="171" ht="15.75" customHeight="1" s="78"/>
    <row r="172" ht="15.75" customHeight="1" s="78"/>
    <row r="173" ht="15.75" customHeight="1" s="78"/>
    <row r="174" ht="15.75" customHeight="1" s="78"/>
    <row r="175" ht="15.75" customHeight="1" s="78"/>
    <row r="176" ht="15.75" customHeight="1" s="78"/>
    <row r="177" ht="15.75" customHeight="1" s="78"/>
    <row r="178" ht="15.75" customHeight="1" s="78"/>
    <row r="179" ht="15.75" customHeight="1" s="78"/>
    <row r="180" ht="15.75" customHeight="1" s="78"/>
    <row r="181" ht="15.75" customHeight="1" s="78"/>
    <row r="182" ht="15.75" customHeight="1" s="78"/>
    <row r="183" ht="15.75" customHeight="1" s="78"/>
    <row r="184" ht="15.75" customHeight="1" s="78"/>
    <row r="185" ht="15.75" customHeight="1" s="78"/>
    <row r="186" ht="15.75" customHeight="1" s="78"/>
    <row r="187" ht="15.75" customHeight="1" s="78"/>
    <row r="188" ht="15.75" customHeight="1" s="78"/>
    <row r="189" ht="15.75" customHeight="1" s="78"/>
    <row r="190" ht="15.75" customHeight="1" s="78"/>
    <row r="191" ht="15.75" customHeight="1" s="78"/>
    <row r="192" ht="15.75" customHeight="1" s="78"/>
    <row r="193" ht="15.75" customHeight="1" s="78"/>
    <row r="194" ht="15.75" customHeight="1" s="78"/>
    <row r="195" ht="15.75" customHeight="1" s="78"/>
    <row r="196" ht="15.75" customHeight="1" s="78"/>
    <row r="197" ht="15.75" customHeight="1" s="78"/>
    <row r="198" ht="15.75" customHeight="1" s="78"/>
    <row r="199" ht="15.75" customHeight="1" s="78"/>
    <row r="200" ht="15.75" customHeight="1" s="78"/>
    <row r="201" ht="15.75" customHeight="1" s="78"/>
    <row r="202" ht="15.75" customHeight="1" s="78"/>
    <row r="203" ht="15.75" customHeight="1" s="78"/>
    <row r="204" ht="15.75" customHeight="1" s="78"/>
    <row r="205" ht="15.75" customHeight="1" s="78"/>
    <row r="206" ht="15.75" customHeight="1" s="78"/>
    <row r="207" ht="15.75" customHeight="1" s="78"/>
    <row r="208" ht="15.75" customHeight="1" s="78"/>
    <row r="209" ht="15.75" customHeight="1" s="78"/>
    <row r="210" ht="15.75" customHeight="1" s="78"/>
    <row r="211" ht="15.75" customHeight="1" s="78"/>
    <row r="212" ht="15.75" customHeight="1" s="78"/>
    <row r="213" ht="15.75" customHeight="1" s="78"/>
    <row r="214" ht="15.75" customHeight="1" s="78"/>
    <row r="215" ht="15.75" customHeight="1" s="78"/>
    <row r="216" ht="15.75" customHeight="1" s="78"/>
    <row r="217" ht="15.75" customHeight="1" s="78"/>
    <row r="218" ht="15.75" customHeight="1" s="78"/>
    <row r="219" ht="15.75" customHeight="1" s="78"/>
    <row r="220" ht="15.75" customHeight="1" s="78"/>
    <row r="221" ht="15.75" customHeight="1" s="78"/>
    <row r="222" ht="15.75" customHeight="1" s="78"/>
    <row r="223" ht="15.75" customHeight="1" s="78"/>
    <row r="224" ht="15.75" customHeight="1" s="78"/>
    <row r="225" ht="15.75" customHeight="1" s="78"/>
    <row r="226" ht="15.75" customHeight="1" s="78"/>
    <row r="227" ht="15.75" customHeight="1" s="78"/>
    <row r="228" ht="15.75" customHeight="1" s="78"/>
    <row r="229" ht="15.75" customHeight="1" s="78"/>
    <row r="230" ht="15.75" customHeight="1" s="78"/>
    <row r="231" ht="15.75" customHeight="1" s="78"/>
    <row r="232" ht="15.75" customHeight="1" s="78"/>
    <row r="233" ht="15.75" customHeight="1" s="78"/>
    <row r="234" ht="15.75" customHeight="1" s="78"/>
    <row r="235" ht="15.75" customHeight="1" s="78"/>
    <row r="236" ht="15.75" customHeight="1" s="78"/>
    <row r="237" ht="15.75" customHeight="1" s="78"/>
    <row r="238" ht="15.75" customHeight="1" s="78"/>
    <row r="239" ht="15.75" customHeight="1" s="78"/>
    <row r="240" ht="15.75" customHeight="1" s="78"/>
    <row r="241" ht="15.75" customHeight="1" s="78"/>
    <row r="242" ht="15.75" customHeight="1" s="78"/>
    <row r="243" ht="15.75" customHeight="1" s="78"/>
    <row r="244" ht="15.75" customHeight="1" s="78"/>
    <row r="245" ht="15.75" customHeight="1" s="78"/>
    <row r="246" ht="15.75" customHeight="1" s="78"/>
    <row r="247" ht="15.75" customHeight="1" s="78"/>
    <row r="248" ht="15.75" customHeight="1" s="78"/>
    <row r="249" ht="15.75" customHeight="1" s="78"/>
    <row r="250" ht="15.75" customHeight="1" s="78"/>
    <row r="251" ht="15.75" customHeight="1" s="78"/>
    <row r="252" ht="15.75" customHeight="1" s="78"/>
    <row r="253" ht="15.75" customHeight="1" s="78"/>
    <row r="254" ht="15.75" customHeight="1" s="78"/>
    <row r="255" ht="15.75" customHeight="1" s="78"/>
    <row r="256" ht="15.75" customHeight="1" s="78"/>
    <row r="257" ht="15.75" customHeight="1" s="78"/>
    <row r="258" ht="15.75" customHeight="1" s="78"/>
    <row r="259" ht="15.75" customHeight="1" s="78"/>
    <row r="260" ht="15.75" customHeight="1" s="78"/>
    <row r="261" ht="15.75" customHeight="1" s="78"/>
    <row r="262" ht="15.75" customHeight="1" s="78"/>
    <row r="263" ht="15.75" customHeight="1" s="78"/>
    <row r="264" ht="15.75" customHeight="1" s="78"/>
    <row r="265" ht="15.75" customHeight="1" s="78"/>
    <row r="266" ht="15.75" customHeight="1" s="78"/>
    <row r="267" ht="15.75" customHeight="1" s="78"/>
    <row r="268" ht="15.75" customHeight="1" s="78"/>
    <row r="269" ht="15.75" customHeight="1" s="78"/>
    <row r="270" ht="15.75" customHeight="1" s="78"/>
    <row r="271" ht="15.75" customHeight="1" s="78"/>
    <row r="272" ht="15.75" customHeight="1" s="78"/>
    <row r="273" ht="15.75" customHeight="1" s="78"/>
    <row r="274" ht="15.75" customHeight="1" s="78"/>
    <row r="275" ht="15.75" customHeight="1" s="78"/>
    <row r="276" ht="15.75" customHeight="1" s="78"/>
    <row r="277" ht="15.75" customHeight="1" s="78"/>
    <row r="278" ht="15.75" customHeight="1" s="78"/>
    <row r="279" ht="15.75" customHeight="1" s="78"/>
    <row r="280" ht="15.75" customHeight="1" s="78"/>
    <row r="281" ht="15.75" customHeight="1" s="78"/>
    <row r="282" ht="15.75" customHeight="1" s="78"/>
    <row r="283" ht="15.75" customHeight="1" s="78"/>
    <row r="284" ht="15.75" customHeight="1" s="78"/>
    <row r="285" ht="15.75" customHeight="1" s="78"/>
    <row r="286" ht="15.75" customHeight="1" s="78"/>
    <row r="287" ht="15.75" customHeight="1" s="78"/>
    <row r="288" ht="15.75" customHeight="1" s="78"/>
    <row r="289" ht="15.75" customHeight="1" s="78"/>
    <row r="290" ht="15.75" customHeight="1" s="78"/>
    <row r="291" ht="15.75" customHeight="1" s="78"/>
    <row r="292" ht="15.75" customHeight="1" s="78"/>
    <row r="293" ht="15.75" customHeight="1" s="78"/>
    <row r="294" ht="15.75" customHeight="1" s="78"/>
    <row r="295" ht="15.75" customHeight="1" s="78"/>
    <row r="296" ht="15.75" customHeight="1" s="78"/>
    <row r="297" ht="15.75" customHeight="1" s="78"/>
    <row r="298" ht="15.75" customHeight="1" s="78"/>
    <row r="299" ht="15.75" customHeight="1" s="78"/>
    <row r="300" ht="15.75" customHeight="1" s="78"/>
    <row r="301" ht="15.75" customHeight="1" s="78"/>
    <row r="302" ht="15.75" customHeight="1" s="78"/>
    <row r="303" ht="15.75" customHeight="1" s="78"/>
    <row r="304" ht="15.75" customHeight="1" s="78"/>
    <row r="305" ht="15.75" customHeight="1" s="78"/>
    <row r="306" ht="15.75" customHeight="1" s="78"/>
    <row r="307" ht="15.75" customHeight="1" s="78"/>
    <row r="308" ht="15.75" customHeight="1" s="78"/>
    <row r="309" ht="15.75" customHeight="1" s="78"/>
    <row r="310" ht="15.75" customHeight="1" s="78"/>
    <row r="311" ht="15.75" customHeight="1" s="78"/>
    <row r="312" ht="15.75" customHeight="1" s="78"/>
    <row r="313" ht="15.75" customHeight="1" s="78"/>
    <row r="314" ht="15.75" customHeight="1" s="78"/>
    <row r="315" ht="15.75" customHeight="1" s="78"/>
    <row r="316" ht="15.75" customHeight="1" s="78"/>
    <row r="317" ht="15.75" customHeight="1" s="78"/>
    <row r="318" ht="15.75" customHeight="1" s="78"/>
    <row r="319" ht="15.75" customHeight="1" s="78"/>
    <row r="320" ht="15.75" customHeight="1" s="78"/>
    <row r="321" ht="15.75" customHeight="1" s="78"/>
    <row r="322" ht="15.75" customHeight="1" s="78"/>
    <row r="323" ht="15.75" customHeight="1" s="78"/>
    <row r="324" ht="15.75" customHeight="1" s="78"/>
    <row r="325" ht="15.75" customHeight="1" s="78"/>
    <row r="326" ht="15.75" customHeight="1" s="78"/>
    <row r="327" ht="15.75" customHeight="1" s="78"/>
    <row r="328" ht="15.75" customHeight="1" s="78"/>
    <row r="329" ht="15.75" customHeight="1" s="78"/>
    <row r="330" ht="15.75" customHeight="1" s="78"/>
    <row r="331" ht="15.75" customHeight="1" s="78"/>
    <row r="332" ht="15.75" customHeight="1" s="78"/>
    <row r="333" ht="15.75" customHeight="1" s="78"/>
    <row r="334" ht="15.75" customHeight="1" s="78"/>
    <row r="335" ht="15.75" customHeight="1" s="78"/>
    <row r="336" ht="15.75" customHeight="1" s="78"/>
    <row r="337" ht="15.75" customHeight="1" s="78"/>
    <row r="338" ht="15.75" customHeight="1" s="78"/>
    <row r="339" ht="15.75" customHeight="1" s="78"/>
    <row r="340" ht="15.75" customHeight="1" s="78"/>
    <row r="341" ht="15.75" customHeight="1" s="78"/>
    <row r="342" ht="15.75" customHeight="1" s="78"/>
    <row r="343" ht="15.75" customHeight="1" s="78"/>
    <row r="344" ht="15.75" customHeight="1" s="78"/>
    <row r="345" ht="15.75" customHeight="1" s="78"/>
    <row r="346" ht="15.75" customHeight="1" s="78"/>
    <row r="347" ht="15.75" customHeight="1" s="78"/>
    <row r="348" ht="15.75" customHeight="1" s="78"/>
    <row r="349" ht="15.75" customHeight="1" s="78"/>
    <row r="350" ht="15.75" customHeight="1" s="78"/>
    <row r="351" ht="15.75" customHeight="1" s="78"/>
    <row r="352" ht="15.75" customHeight="1" s="78"/>
    <row r="353" ht="15.75" customHeight="1" s="78"/>
    <row r="354" ht="15.75" customHeight="1" s="78"/>
    <row r="355" ht="15.75" customHeight="1" s="78"/>
    <row r="356" ht="15.75" customHeight="1" s="78"/>
    <row r="357" ht="15.75" customHeight="1" s="78"/>
    <row r="358" ht="15.75" customHeight="1" s="78"/>
    <row r="359" ht="15.75" customHeight="1" s="78"/>
    <row r="360" ht="15.75" customHeight="1" s="78"/>
    <row r="361" ht="15.75" customHeight="1" s="78"/>
    <row r="362" ht="15.75" customHeight="1" s="78"/>
    <row r="363" ht="15.75" customHeight="1" s="78"/>
    <row r="364" ht="15.75" customHeight="1" s="78"/>
    <row r="365" ht="15.75" customHeight="1" s="78"/>
    <row r="366" ht="15.75" customHeight="1" s="78"/>
    <row r="367" ht="15.75" customHeight="1" s="78"/>
    <row r="368" ht="15.75" customHeight="1" s="78"/>
    <row r="369" ht="15.75" customHeight="1" s="78"/>
    <row r="370" ht="15.75" customHeight="1" s="78"/>
    <row r="371" ht="15.75" customHeight="1" s="78"/>
    <row r="372" ht="15.75" customHeight="1" s="78"/>
    <row r="373" ht="15.75" customHeight="1" s="78"/>
    <row r="374" ht="15.75" customHeight="1" s="78"/>
    <row r="375" ht="15.75" customHeight="1" s="78"/>
    <row r="376" ht="15.75" customHeight="1" s="78"/>
    <row r="377" ht="15.75" customHeight="1" s="78"/>
    <row r="378" ht="15.75" customHeight="1" s="78"/>
    <row r="379" ht="15.75" customHeight="1" s="78"/>
    <row r="380" ht="15.75" customHeight="1" s="78"/>
    <row r="381" ht="15.75" customHeight="1" s="78"/>
    <row r="382" ht="15.75" customHeight="1" s="78"/>
    <row r="383" ht="15.75" customHeight="1" s="78"/>
    <row r="384" ht="15.75" customHeight="1" s="78"/>
    <row r="385" ht="15.75" customHeight="1" s="78"/>
    <row r="386" ht="15.75" customHeight="1" s="78"/>
    <row r="387" ht="15.75" customHeight="1" s="78"/>
    <row r="388" ht="15.75" customHeight="1" s="78"/>
    <row r="389" ht="15.75" customHeight="1" s="78"/>
    <row r="390" ht="15.75" customHeight="1" s="78"/>
    <row r="391" ht="15.75" customHeight="1" s="78"/>
    <row r="392" ht="15.75" customHeight="1" s="78"/>
    <row r="393" ht="15.75" customHeight="1" s="78"/>
    <row r="394" ht="15.75" customHeight="1" s="78"/>
    <row r="395" ht="15.75" customHeight="1" s="78"/>
    <row r="396" ht="15.75" customHeight="1" s="78"/>
    <row r="397" ht="15.75" customHeight="1" s="78"/>
    <row r="398" ht="15.75" customHeight="1" s="78"/>
    <row r="399" ht="15.75" customHeight="1" s="78"/>
    <row r="400" ht="15.75" customHeight="1" s="78"/>
    <row r="401" ht="15.75" customHeight="1" s="78"/>
    <row r="402" ht="15.75" customHeight="1" s="78"/>
    <row r="403" ht="15.75" customHeight="1" s="78"/>
    <row r="404" ht="15.75" customHeight="1" s="78"/>
    <row r="405" ht="15.75" customHeight="1" s="78"/>
    <row r="406" ht="15.75" customHeight="1" s="78"/>
    <row r="407" ht="15.75" customHeight="1" s="78"/>
    <row r="408" ht="15.75" customHeight="1" s="78"/>
    <row r="409" ht="15.75" customHeight="1" s="78"/>
    <row r="410" ht="15.75" customHeight="1" s="78"/>
    <row r="411" ht="15.75" customHeight="1" s="78"/>
    <row r="412" ht="15.75" customHeight="1" s="78"/>
    <row r="413" ht="15.75" customHeight="1" s="78"/>
    <row r="414" ht="15.75" customHeight="1" s="78"/>
    <row r="415" ht="15.75" customHeight="1" s="78"/>
    <row r="416" ht="15.75" customHeight="1" s="78"/>
    <row r="417" ht="15.75" customHeight="1" s="78"/>
    <row r="418" ht="15.75" customHeight="1" s="78"/>
    <row r="419" ht="15.75" customHeight="1" s="78"/>
    <row r="420" ht="15.75" customHeight="1" s="78"/>
    <row r="421" ht="15.75" customHeight="1" s="78"/>
    <row r="422" ht="15.75" customHeight="1" s="78"/>
    <row r="423" ht="15.75" customHeight="1" s="78"/>
    <row r="424" ht="15.75" customHeight="1" s="78"/>
    <row r="425" ht="15.75" customHeight="1" s="78"/>
    <row r="426" ht="15.75" customHeight="1" s="78"/>
    <row r="427" ht="15.75" customHeight="1" s="78"/>
    <row r="428" ht="15.75" customHeight="1" s="78"/>
    <row r="429" ht="15.75" customHeight="1" s="78"/>
    <row r="430" ht="15.75" customHeight="1" s="78"/>
    <row r="431" ht="15.75" customHeight="1" s="78"/>
    <row r="432" ht="15.75" customHeight="1" s="78"/>
    <row r="433" ht="15.75" customHeight="1" s="78"/>
    <row r="434" ht="15.75" customHeight="1" s="78"/>
    <row r="435" ht="15.75" customHeight="1" s="78"/>
    <row r="436" ht="15.75" customHeight="1" s="78"/>
    <row r="437" ht="15.75" customHeight="1" s="78"/>
    <row r="438" ht="15.75" customHeight="1" s="78"/>
    <row r="439" ht="15.75" customHeight="1" s="78"/>
    <row r="440" ht="15.75" customHeight="1" s="78"/>
    <row r="441" ht="15.75" customHeight="1" s="78"/>
    <row r="442" ht="15.75" customHeight="1" s="78"/>
    <row r="443" ht="15.75" customHeight="1" s="78"/>
    <row r="444" ht="15.75" customHeight="1" s="78"/>
    <row r="445" ht="15.75" customHeight="1" s="78"/>
    <row r="446" ht="15.75" customHeight="1" s="78"/>
    <row r="447" ht="15.75" customHeight="1" s="78"/>
    <row r="448" ht="15.75" customHeight="1" s="78"/>
    <row r="449" ht="15.75" customHeight="1" s="78"/>
    <row r="450" ht="15.75" customHeight="1" s="78"/>
    <row r="451" ht="15.75" customHeight="1" s="78"/>
    <row r="452" ht="15.75" customHeight="1" s="78"/>
    <row r="453" ht="15.75" customHeight="1" s="78"/>
    <row r="454" ht="15.75" customHeight="1" s="78"/>
    <row r="455" ht="15.75" customHeight="1" s="78"/>
    <row r="456" ht="15.75" customHeight="1" s="78"/>
    <row r="457" ht="15.75" customHeight="1" s="78"/>
    <row r="458" ht="15.75" customHeight="1" s="78"/>
    <row r="459" ht="15.75" customHeight="1" s="78"/>
    <row r="460" ht="15.75" customHeight="1" s="78"/>
    <row r="461" ht="15.75" customHeight="1" s="78"/>
    <row r="462" ht="15.75" customHeight="1" s="78"/>
    <row r="463" ht="15.75" customHeight="1" s="78"/>
    <row r="464" ht="15.75" customHeight="1" s="78"/>
    <row r="465" ht="15.75" customHeight="1" s="78"/>
    <row r="466" ht="15.75" customHeight="1" s="78"/>
    <row r="467" ht="15.75" customHeight="1" s="78"/>
    <row r="468" ht="15.75" customHeight="1" s="78"/>
    <row r="469" ht="15.75" customHeight="1" s="78"/>
    <row r="470" ht="15.75" customHeight="1" s="78"/>
    <row r="471" ht="15.75" customHeight="1" s="78"/>
    <row r="472" ht="15.75" customHeight="1" s="78"/>
    <row r="473" ht="15.75" customHeight="1" s="78"/>
    <row r="474" ht="15.75" customHeight="1" s="78"/>
    <row r="475" ht="15.75" customHeight="1" s="78"/>
    <row r="476" ht="15.75" customHeight="1" s="78"/>
    <row r="477" ht="15.75" customHeight="1" s="78"/>
    <row r="478" ht="15.75" customHeight="1" s="78"/>
    <row r="479" ht="15.75" customHeight="1" s="78"/>
    <row r="480" ht="15.75" customHeight="1" s="78"/>
    <row r="481" ht="15.75" customHeight="1" s="78"/>
    <row r="482" ht="15.75" customHeight="1" s="78"/>
    <row r="483" ht="15.75" customHeight="1" s="78"/>
    <row r="484" ht="15.75" customHeight="1" s="78"/>
    <row r="485" ht="15.75" customHeight="1" s="78"/>
    <row r="486" ht="15.75" customHeight="1" s="78"/>
    <row r="487" ht="15.75" customHeight="1" s="78"/>
    <row r="488" ht="15.75" customHeight="1" s="78"/>
    <row r="489" ht="15.75" customHeight="1" s="78"/>
    <row r="490" ht="15.75" customHeight="1" s="78"/>
    <row r="491" ht="15.75" customHeight="1" s="78"/>
    <row r="492" ht="15.75" customHeight="1" s="78"/>
    <row r="493" ht="15.75" customHeight="1" s="78"/>
    <row r="494" ht="15.75" customHeight="1" s="78"/>
    <row r="495" ht="15.75" customHeight="1" s="78"/>
    <row r="496" ht="15.75" customHeight="1" s="78"/>
    <row r="497" ht="15.75" customHeight="1" s="78"/>
    <row r="498" ht="15.75" customHeight="1" s="78"/>
    <row r="499" ht="15.75" customHeight="1" s="78"/>
    <row r="500" ht="15.75" customHeight="1" s="78"/>
    <row r="501" ht="15.75" customHeight="1" s="78"/>
    <row r="502" ht="15.75" customHeight="1" s="78"/>
    <row r="503" ht="15.75" customHeight="1" s="78"/>
    <row r="504" ht="15.75" customHeight="1" s="78"/>
    <row r="505" ht="15.75" customHeight="1" s="78"/>
    <row r="506" ht="15.75" customHeight="1" s="78"/>
    <row r="507" ht="15.75" customHeight="1" s="78"/>
    <row r="508" ht="15.75" customHeight="1" s="78"/>
    <row r="509" ht="15.75" customHeight="1" s="78"/>
    <row r="510" ht="15.75" customHeight="1" s="78"/>
    <row r="511" ht="15.75" customHeight="1" s="78"/>
    <row r="512" ht="15.75" customHeight="1" s="78"/>
    <row r="513" ht="15.75" customHeight="1" s="78"/>
    <row r="514" ht="15.75" customHeight="1" s="78"/>
    <row r="515" ht="15.75" customHeight="1" s="78"/>
    <row r="516" ht="15.75" customHeight="1" s="78"/>
    <row r="517" ht="15.75" customHeight="1" s="78"/>
    <row r="518" ht="15.75" customHeight="1" s="78"/>
    <row r="519" ht="15.75" customHeight="1" s="78"/>
    <row r="520" ht="15.75" customHeight="1" s="78"/>
    <row r="521" ht="15.75" customHeight="1" s="78"/>
    <row r="522" ht="15.75" customHeight="1" s="78"/>
    <row r="523" ht="15.75" customHeight="1" s="78"/>
    <row r="524" ht="15.75" customHeight="1" s="78"/>
    <row r="525" ht="15.75" customHeight="1" s="78"/>
    <row r="526" ht="15.75" customHeight="1" s="78"/>
    <row r="527" ht="15.75" customHeight="1" s="78"/>
    <row r="528" ht="15.75" customHeight="1" s="78"/>
    <row r="529" ht="15.75" customHeight="1" s="78"/>
    <row r="530" ht="15.75" customHeight="1" s="78"/>
    <row r="531" ht="15.75" customHeight="1" s="78"/>
    <row r="532" ht="15.75" customHeight="1" s="78"/>
    <row r="533" ht="15.75" customHeight="1" s="78"/>
    <row r="534" ht="15.75" customHeight="1" s="78"/>
    <row r="535" ht="15.75" customHeight="1" s="78"/>
    <row r="536" ht="15.75" customHeight="1" s="78"/>
    <row r="537" ht="15.75" customHeight="1" s="78"/>
    <row r="538" ht="15.75" customHeight="1" s="78"/>
    <row r="539" ht="15.75" customHeight="1" s="78"/>
    <row r="540" ht="15.75" customHeight="1" s="78"/>
    <row r="541" ht="15.75" customHeight="1" s="78"/>
    <row r="542" ht="15.75" customHeight="1" s="78"/>
    <row r="543" ht="15.75" customHeight="1" s="78"/>
    <row r="544" ht="15.75" customHeight="1" s="78"/>
    <row r="545" ht="15.75" customHeight="1" s="78"/>
    <row r="546" ht="15.75" customHeight="1" s="78"/>
    <row r="547" ht="15.75" customHeight="1" s="78"/>
    <row r="548" ht="15.75" customHeight="1" s="78"/>
    <row r="549" ht="15.75" customHeight="1" s="78"/>
    <row r="550" ht="15.75" customHeight="1" s="78"/>
    <row r="551" ht="15.75" customHeight="1" s="78"/>
    <row r="552" ht="15.75" customHeight="1" s="78"/>
    <row r="553" ht="15.75" customHeight="1" s="78"/>
    <row r="554" ht="15.75" customHeight="1" s="78"/>
    <row r="555" ht="15.75" customHeight="1" s="78"/>
    <row r="556" ht="15.75" customHeight="1" s="78"/>
    <row r="557" ht="15.75" customHeight="1" s="78"/>
    <row r="558" ht="15.75" customHeight="1" s="78"/>
    <row r="559" ht="15.75" customHeight="1" s="78"/>
    <row r="560" ht="15.75" customHeight="1" s="78"/>
    <row r="561" ht="15.75" customHeight="1" s="78"/>
    <row r="562" ht="15.75" customHeight="1" s="78"/>
    <row r="563" ht="15.75" customHeight="1" s="78"/>
    <row r="564" ht="15.75" customHeight="1" s="78"/>
    <row r="565" ht="15.75" customHeight="1" s="78"/>
    <row r="566" ht="15.75" customHeight="1" s="78"/>
    <row r="567" ht="15.75" customHeight="1" s="78"/>
    <row r="568" ht="15.75" customHeight="1" s="78"/>
    <row r="569" ht="15.75" customHeight="1" s="78"/>
    <row r="570" ht="15.75" customHeight="1" s="78"/>
    <row r="571" ht="15.75" customHeight="1" s="78"/>
    <row r="572" ht="15.75" customHeight="1" s="78"/>
    <row r="573" ht="15.75" customHeight="1" s="78"/>
    <row r="574" ht="15.75" customHeight="1" s="78"/>
    <row r="575" ht="15.75" customHeight="1" s="78"/>
    <row r="576" ht="15.75" customHeight="1" s="78"/>
    <row r="577" ht="15.75" customHeight="1" s="78"/>
    <row r="578" ht="15.75" customHeight="1" s="78"/>
    <row r="579" ht="15.75" customHeight="1" s="78"/>
    <row r="580" ht="15.75" customHeight="1" s="78"/>
    <row r="581" ht="15.75" customHeight="1" s="78"/>
    <row r="582" ht="15.75" customHeight="1" s="78"/>
    <row r="583" ht="15.75" customHeight="1" s="78"/>
    <row r="584" ht="15.75" customHeight="1" s="78"/>
    <row r="585" ht="15.75" customHeight="1" s="78"/>
    <row r="586" ht="15.75" customHeight="1" s="78"/>
    <row r="587" ht="15.75" customHeight="1" s="78"/>
    <row r="588" ht="15.75" customHeight="1" s="78"/>
    <row r="589" ht="15.75" customHeight="1" s="78"/>
    <row r="590" ht="15.75" customHeight="1" s="78"/>
    <row r="591" ht="15.75" customHeight="1" s="78"/>
    <row r="592" ht="15.75" customHeight="1" s="78"/>
    <row r="593" ht="15.75" customHeight="1" s="78"/>
    <row r="594" ht="15.75" customHeight="1" s="78"/>
    <row r="595" ht="15.75" customHeight="1" s="78"/>
    <row r="596" ht="15.75" customHeight="1" s="78"/>
    <row r="597" ht="15.75" customHeight="1" s="78"/>
    <row r="598" ht="15.75" customHeight="1" s="78"/>
    <row r="599" ht="15.75" customHeight="1" s="78"/>
    <row r="600" ht="15.75" customHeight="1" s="78"/>
    <row r="601" ht="15.75" customHeight="1" s="78"/>
    <row r="602" ht="15.75" customHeight="1" s="78"/>
    <row r="603" ht="15.75" customHeight="1" s="78"/>
    <row r="604" ht="15.75" customHeight="1" s="78"/>
    <row r="605" ht="15.75" customHeight="1" s="78"/>
    <row r="606" ht="15.75" customHeight="1" s="78"/>
    <row r="607" ht="15.75" customHeight="1" s="78"/>
    <row r="608" ht="15.75" customHeight="1" s="78"/>
    <row r="609" ht="15.75" customHeight="1" s="78"/>
    <row r="610" ht="15.75" customHeight="1" s="78"/>
    <row r="611" ht="15.75" customHeight="1" s="78"/>
    <row r="612" ht="15.75" customHeight="1" s="78"/>
    <row r="613" ht="15.75" customHeight="1" s="78"/>
    <row r="614" ht="15.75" customHeight="1" s="78"/>
    <row r="615" ht="15.75" customHeight="1" s="78"/>
    <row r="616" ht="15.75" customHeight="1" s="78"/>
    <row r="617" ht="15.75" customHeight="1" s="78"/>
    <row r="618" ht="15.75" customHeight="1" s="78"/>
    <row r="619" ht="15.75" customHeight="1" s="78"/>
    <row r="620" ht="15.75" customHeight="1" s="78"/>
    <row r="621" ht="15.75" customHeight="1" s="78"/>
    <row r="622" ht="15.75" customHeight="1" s="78"/>
    <row r="623" ht="15.75" customHeight="1" s="78"/>
    <row r="624" ht="15.75" customHeight="1" s="78"/>
    <row r="625" ht="15.75" customHeight="1" s="78"/>
    <row r="626" ht="15.75" customHeight="1" s="78"/>
    <row r="627" ht="15.75" customHeight="1" s="78"/>
    <row r="628" ht="15.75" customHeight="1" s="78"/>
    <row r="629" ht="15.75" customHeight="1" s="78"/>
    <row r="630" ht="15.75" customHeight="1" s="78"/>
    <row r="631" ht="15.75" customHeight="1" s="78"/>
    <row r="632" ht="15.75" customHeight="1" s="78"/>
    <row r="633" ht="15.75" customHeight="1" s="78"/>
    <row r="634" ht="15.75" customHeight="1" s="78"/>
    <row r="635" ht="15.75" customHeight="1" s="78"/>
    <row r="636" ht="15.75" customHeight="1" s="78"/>
    <row r="637" ht="15.75" customHeight="1" s="78"/>
    <row r="638" ht="15.75" customHeight="1" s="78"/>
    <row r="639" ht="15.75" customHeight="1" s="78"/>
    <row r="640" ht="15.75" customHeight="1" s="78"/>
    <row r="641" ht="15.75" customHeight="1" s="78"/>
    <row r="642" ht="15.75" customHeight="1" s="78"/>
    <row r="643" ht="15.75" customHeight="1" s="78"/>
    <row r="644" ht="15.75" customHeight="1" s="78"/>
    <row r="645" ht="15.75" customHeight="1" s="78"/>
    <row r="646" ht="15.75" customHeight="1" s="78"/>
    <row r="647" ht="15.75" customHeight="1" s="78"/>
    <row r="648" ht="15.75" customHeight="1" s="78"/>
    <row r="649" ht="15.75" customHeight="1" s="78"/>
    <row r="650" ht="15.75" customHeight="1" s="78"/>
    <row r="651" ht="15.75" customHeight="1" s="78"/>
    <row r="652" ht="15.75" customHeight="1" s="78"/>
    <row r="653" ht="15.75" customHeight="1" s="78"/>
    <row r="654" ht="15.75" customHeight="1" s="78"/>
    <row r="655" ht="15.75" customHeight="1" s="78"/>
    <row r="656" ht="15.75" customHeight="1" s="78"/>
    <row r="657" ht="15.75" customHeight="1" s="78"/>
    <row r="658" ht="15.75" customHeight="1" s="78"/>
    <row r="659" ht="15.75" customHeight="1" s="78"/>
    <row r="660" ht="15.75" customHeight="1" s="78"/>
    <row r="661" ht="15.75" customHeight="1" s="78"/>
    <row r="662" ht="15.75" customHeight="1" s="78"/>
    <row r="663" ht="15.75" customHeight="1" s="78"/>
    <row r="664" ht="15.75" customHeight="1" s="78"/>
    <row r="665" ht="15.75" customHeight="1" s="78"/>
    <row r="666" ht="15.75" customHeight="1" s="78"/>
    <row r="667" ht="15.75" customHeight="1" s="78"/>
    <row r="668" ht="15.75" customHeight="1" s="78"/>
    <row r="669" ht="15.75" customHeight="1" s="78"/>
    <row r="670" ht="15.75" customHeight="1" s="78"/>
    <row r="671" ht="15.75" customHeight="1" s="78"/>
    <row r="672" ht="15.75" customHeight="1" s="78"/>
    <row r="673" ht="15.75" customHeight="1" s="78"/>
    <row r="674" ht="15.75" customHeight="1" s="78"/>
    <row r="675" ht="15.75" customHeight="1" s="78"/>
    <row r="676" ht="15.75" customHeight="1" s="78"/>
    <row r="677" ht="15.75" customHeight="1" s="78"/>
    <row r="678" ht="15.75" customHeight="1" s="78"/>
    <row r="679" ht="15.75" customHeight="1" s="78"/>
    <row r="680" ht="15.75" customHeight="1" s="78"/>
    <row r="681" ht="15.75" customHeight="1" s="78"/>
    <row r="682" ht="15.75" customHeight="1" s="78"/>
    <row r="683" ht="15.75" customHeight="1" s="78"/>
    <row r="684" ht="15.75" customHeight="1" s="78"/>
    <row r="685" ht="15.75" customHeight="1" s="78"/>
    <row r="686" ht="15.75" customHeight="1" s="78"/>
    <row r="687" ht="15.75" customHeight="1" s="78"/>
    <row r="688" ht="15.75" customHeight="1" s="78"/>
    <row r="689" ht="15.75" customHeight="1" s="78"/>
    <row r="690" ht="15.75" customHeight="1" s="78"/>
    <row r="691" ht="15.75" customHeight="1" s="78"/>
    <row r="692" ht="15.75" customHeight="1" s="78"/>
    <row r="693" ht="15.75" customHeight="1" s="78"/>
    <row r="694" ht="15.75" customHeight="1" s="78"/>
    <row r="695" ht="15.75" customHeight="1" s="78"/>
    <row r="696" ht="15.75" customHeight="1" s="78"/>
    <row r="697" ht="15.75" customHeight="1" s="78"/>
    <row r="698" ht="15.75" customHeight="1" s="78"/>
    <row r="699" ht="15.75" customHeight="1" s="78"/>
    <row r="700" ht="15.75" customHeight="1" s="78"/>
    <row r="701" ht="15.75" customHeight="1" s="78"/>
    <row r="702" ht="15.75" customHeight="1" s="78"/>
    <row r="703" ht="15.75" customHeight="1" s="78"/>
    <row r="704" ht="15.75" customHeight="1" s="78"/>
    <row r="705" ht="15.75" customHeight="1" s="78"/>
    <row r="706" ht="15.75" customHeight="1" s="78"/>
    <row r="707" ht="15.75" customHeight="1" s="78"/>
    <row r="708" ht="15.75" customHeight="1" s="78"/>
    <row r="709" ht="15.75" customHeight="1" s="78"/>
    <row r="710" ht="15.75" customHeight="1" s="78"/>
    <row r="711" ht="15.75" customHeight="1" s="78"/>
    <row r="712" ht="15.75" customHeight="1" s="78"/>
    <row r="713" ht="15.75" customHeight="1" s="78"/>
    <row r="714" ht="15.75" customHeight="1" s="78"/>
    <row r="715" ht="15.75" customHeight="1" s="78"/>
    <row r="716" ht="15.75" customHeight="1" s="78"/>
    <row r="717" ht="15.75" customHeight="1" s="78"/>
    <row r="718" ht="15.75" customHeight="1" s="78"/>
    <row r="719" ht="15.75" customHeight="1" s="78"/>
    <row r="720" ht="15.75" customHeight="1" s="78"/>
    <row r="721" ht="15.75" customHeight="1" s="78"/>
    <row r="722" ht="15.75" customHeight="1" s="78"/>
    <row r="723" ht="15.75" customHeight="1" s="78"/>
    <row r="724" ht="15.75" customHeight="1" s="78"/>
    <row r="725" ht="15.75" customHeight="1" s="78"/>
    <row r="726" ht="15.75" customHeight="1" s="78"/>
    <row r="727" ht="15.75" customHeight="1" s="78"/>
    <row r="728" ht="15.75" customHeight="1" s="78"/>
    <row r="729" ht="15.75" customHeight="1" s="78"/>
    <row r="730" ht="15.75" customHeight="1" s="78"/>
    <row r="731" ht="15.75" customHeight="1" s="78"/>
    <row r="732" ht="15.75" customHeight="1" s="78"/>
    <row r="733" ht="15.75" customHeight="1" s="78"/>
    <row r="734" ht="15.75" customHeight="1" s="78"/>
    <row r="735" ht="15.75" customHeight="1" s="78"/>
    <row r="736" ht="15.75" customHeight="1" s="78"/>
    <row r="737" ht="15.75" customHeight="1" s="78"/>
    <row r="738" ht="15.75" customHeight="1" s="78"/>
    <row r="739" ht="15.75" customHeight="1" s="78"/>
    <row r="740" ht="15.75" customHeight="1" s="78"/>
    <row r="741" ht="15.75" customHeight="1" s="78"/>
    <row r="742" ht="15.75" customHeight="1" s="78"/>
    <row r="743" ht="15.75" customHeight="1" s="78"/>
    <row r="744" ht="15.75" customHeight="1" s="78"/>
    <row r="745" ht="15.75" customHeight="1" s="78"/>
    <row r="746" ht="15.75" customHeight="1" s="78"/>
    <row r="747" ht="15.75" customHeight="1" s="78"/>
    <row r="748" ht="15.75" customHeight="1" s="78"/>
    <row r="749" ht="15.75" customHeight="1" s="78"/>
    <row r="750" ht="15.75" customHeight="1" s="78"/>
    <row r="751" ht="15.75" customHeight="1" s="78"/>
    <row r="752" ht="15.75" customHeight="1" s="78"/>
    <row r="753" ht="15.75" customHeight="1" s="78"/>
    <row r="754" ht="15.75" customHeight="1" s="78"/>
    <row r="755" ht="15.75" customHeight="1" s="78"/>
    <row r="756" ht="15.75" customHeight="1" s="78"/>
    <row r="757" ht="15.75" customHeight="1" s="78"/>
    <row r="758" ht="15.75" customHeight="1" s="78"/>
    <row r="759" ht="15.75" customHeight="1" s="78"/>
    <row r="760" ht="15.75" customHeight="1" s="78"/>
    <row r="761" ht="15.75" customHeight="1" s="78"/>
    <row r="762" ht="15.75" customHeight="1" s="78"/>
    <row r="763" ht="15.75" customHeight="1" s="78"/>
    <row r="764" ht="15.75" customHeight="1" s="78"/>
    <row r="765" ht="15.75" customHeight="1" s="78"/>
    <row r="766" ht="15.75" customHeight="1" s="78"/>
    <row r="767" ht="15.75" customHeight="1" s="78"/>
    <row r="768" ht="15.75" customHeight="1" s="78"/>
    <row r="769" ht="15.75" customHeight="1" s="78"/>
    <row r="770" ht="15.75" customHeight="1" s="78"/>
    <row r="771" ht="15.75" customHeight="1" s="78"/>
    <row r="772" ht="15.75" customHeight="1" s="78"/>
    <row r="773" ht="15.75" customHeight="1" s="78"/>
    <row r="774" ht="15.75" customHeight="1" s="78"/>
    <row r="775" ht="15.75" customHeight="1" s="78"/>
    <row r="776" ht="15.75" customHeight="1" s="78"/>
    <row r="777" ht="15.75" customHeight="1" s="78"/>
    <row r="778" ht="15.75" customHeight="1" s="78"/>
    <row r="779" ht="15.75" customHeight="1" s="78"/>
    <row r="780" ht="15.75" customHeight="1" s="78"/>
    <row r="781" ht="15.75" customHeight="1" s="78"/>
    <row r="782" ht="15.75" customHeight="1" s="78"/>
    <row r="783" ht="15.75" customHeight="1" s="78"/>
    <row r="784" ht="15.75" customHeight="1" s="78"/>
    <row r="785" ht="15.75" customHeight="1" s="78"/>
    <row r="786" ht="15.75" customHeight="1" s="78"/>
    <row r="787" ht="15.75" customHeight="1" s="78"/>
    <row r="788" ht="15.75" customHeight="1" s="78"/>
    <row r="789" ht="15.75" customHeight="1" s="78"/>
    <row r="790" ht="15.75" customHeight="1" s="78"/>
    <row r="791" ht="15.75" customHeight="1" s="78"/>
    <row r="792" ht="15.75" customHeight="1" s="78"/>
    <row r="793" ht="15.75" customHeight="1" s="78"/>
    <row r="794" ht="15.75" customHeight="1" s="78"/>
    <row r="795" ht="15.75" customHeight="1" s="78"/>
    <row r="796" ht="15.75" customHeight="1" s="78"/>
    <row r="797" ht="15.75" customHeight="1" s="78"/>
    <row r="798" ht="15.75" customHeight="1" s="78"/>
    <row r="799" ht="15.75" customHeight="1" s="78"/>
    <row r="800" ht="15.75" customHeight="1" s="78"/>
    <row r="801" ht="15.75" customHeight="1" s="78"/>
    <row r="802" ht="15.75" customHeight="1" s="78"/>
    <row r="803" ht="15.75" customHeight="1" s="78"/>
    <row r="804" ht="15.75" customHeight="1" s="78"/>
    <row r="805" ht="15.75" customHeight="1" s="78"/>
    <row r="806" ht="15.75" customHeight="1" s="78"/>
    <row r="807" ht="15.75" customHeight="1" s="78"/>
    <row r="808" ht="15.75" customHeight="1" s="78"/>
    <row r="809" ht="15.75" customHeight="1" s="78"/>
    <row r="810" ht="15.75" customHeight="1" s="78"/>
    <row r="811" ht="15.75" customHeight="1" s="78"/>
    <row r="812" ht="15.75" customHeight="1" s="78"/>
    <row r="813" ht="15.75" customHeight="1" s="78"/>
    <row r="814" ht="15.75" customHeight="1" s="78"/>
    <row r="815" ht="15.75" customHeight="1" s="78"/>
    <row r="816" ht="15.75" customHeight="1" s="78"/>
    <row r="817" ht="15.75" customHeight="1" s="78"/>
    <row r="818" ht="15.75" customHeight="1" s="78"/>
    <row r="819" ht="15.75" customHeight="1" s="78"/>
    <row r="820" ht="15.75" customHeight="1" s="78"/>
    <row r="821" ht="15.75" customHeight="1" s="78"/>
    <row r="822" ht="15.75" customHeight="1" s="78"/>
    <row r="823" ht="15.75" customHeight="1" s="78"/>
    <row r="824" ht="15.75" customHeight="1" s="78"/>
    <row r="825" ht="15.75" customHeight="1" s="78"/>
    <row r="826" ht="15.75" customHeight="1" s="78"/>
    <row r="827" ht="15.75" customHeight="1" s="78"/>
    <row r="828" ht="15.75" customHeight="1" s="78"/>
    <row r="829" ht="15.75" customHeight="1" s="78"/>
    <row r="830" ht="15.75" customHeight="1" s="78"/>
    <row r="831" ht="15.75" customHeight="1" s="78"/>
    <row r="832" ht="15.75" customHeight="1" s="78"/>
    <row r="833" ht="15.75" customHeight="1" s="78"/>
    <row r="834" ht="15.75" customHeight="1" s="78"/>
    <row r="835" ht="15.75" customHeight="1" s="78"/>
    <row r="836" ht="15.75" customHeight="1" s="78"/>
    <row r="837" ht="15.75" customHeight="1" s="78"/>
    <row r="838" ht="15.75" customHeight="1" s="78"/>
    <row r="839" ht="15.75" customHeight="1" s="78"/>
    <row r="840" ht="15.75" customHeight="1" s="78"/>
    <row r="841" ht="15.75" customHeight="1" s="78"/>
    <row r="842" ht="15.75" customHeight="1" s="78"/>
    <row r="843" ht="15.75" customHeight="1" s="78"/>
    <row r="844" ht="15.75" customHeight="1" s="78"/>
    <row r="845" ht="15.75" customHeight="1" s="78"/>
    <row r="846" ht="15.75" customHeight="1" s="78"/>
    <row r="847" ht="15.75" customHeight="1" s="78"/>
    <row r="848" ht="15.75" customHeight="1" s="78"/>
    <row r="849" ht="15.75" customHeight="1" s="78"/>
    <row r="850" ht="15.75" customHeight="1" s="78"/>
    <row r="851" ht="15.75" customHeight="1" s="78"/>
    <row r="852" ht="15.75" customHeight="1" s="78"/>
    <row r="853" ht="15.75" customHeight="1" s="78"/>
    <row r="854" ht="15.75" customHeight="1" s="78"/>
    <row r="855" ht="15.75" customHeight="1" s="78"/>
    <row r="856" ht="15.75" customHeight="1" s="78"/>
    <row r="857" ht="15.75" customHeight="1" s="78"/>
    <row r="858" ht="15.75" customHeight="1" s="78"/>
    <row r="859" ht="15.75" customHeight="1" s="78"/>
    <row r="860" ht="15.75" customHeight="1" s="78"/>
    <row r="861" ht="15.75" customHeight="1" s="78"/>
    <row r="862" ht="15.75" customHeight="1" s="78"/>
    <row r="863" ht="15.75" customHeight="1" s="78"/>
    <row r="864" ht="15.75" customHeight="1" s="78"/>
    <row r="865" ht="15.75" customHeight="1" s="78"/>
    <row r="866" ht="15.75" customHeight="1" s="78"/>
    <row r="867" ht="15.75" customHeight="1" s="78"/>
    <row r="868" ht="15.75" customHeight="1" s="78"/>
    <row r="869" ht="15.75" customHeight="1" s="78"/>
    <row r="870" ht="15.75" customHeight="1" s="78"/>
    <row r="871" ht="15.75" customHeight="1" s="78"/>
    <row r="872" ht="15.75" customHeight="1" s="78"/>
    <row r="873" ht="15.75" customHeight="1" s="78"/>
    <row r="874" ht="15.75" customHeight="1" s="78"/>
    <row r="875" ht="15.75" customHeight="1" s="78"/>
    <row r="876" ht="15.75" customHeight="1" s="78"/>
    <row r="877" ht="15.75" customHeight="1" s="78"/>
    <row r="878" ht="15.75" customHeight="1" s="78"/>
    <row r="879" ht="15.75" customHeight="1" s="78"/>
    <row r="880" ht="15.75" customHeight="1" s="78"/>
    <row r="881" ht="15.75" customHeight="1" s="78"/>
    <row r="882" ht="15.75" customHeight="1" s="78"/>
    <row r="883" ht="15.75" customHeight="1" s="78"/>
    <row r="884" ht="15.75" customHeight="1" s="78"/>
    <row r="885" ht="15.75" customHeight="1" s="78"/>
    <row r="886" ht="15.75" customHeight="1" s="78"/>
    <row r="887" ht="15.75" customHeight="1" s="78"/>
    <row r="888" ht="15.75" customHeight="1" s="78"/>
    <row r="889" ht="15.75" customHeight="1" s="78"/>
    <row r="890" ht="15.75" customHeight="1" s="78"/>
    <row r="891" ht="15.75" customHeight="1" s="78"/>
    <row r="892" ht="15.75" customHeight="1" s="78"/>
    <row r="893" ht="15.75" customHeight="1" s="78"/>
    <row r="894" ht="15.75" customHeight="1" s="78"/>
    <row r="895" ht="15.75" customHeight="1" s="78"/>
    <row r="896" ht="15.75" customHeight="1" s="78"/>
    <row r="897" ht="15.75" customHeight="1" s="78"/>
    <row r="898" ht="15.75" customHeight="1" s="78"/>
    <row r="899" ht="15.75" customHeight="1" s="78"/>
    <row r="900" ht="15.75" customHeight="1" s="78"/>
    <row r="901" ht="15.75" customHeight="1" s="78"/>
    <row r="902" ht="15.75" customHeight="1" s="78"/>
    <row r="903" ht="15.75" customHeight="1" s="78"/>
    <row r="904" ht="15.75" customHeight="1" s="78"/>
    <row r="905" ht="15.75" customHeight="1" s="78"/>
    <row r="906" ht="15.75" customHeight="1" s="78"/>
    <row r="907" ht="15.75" customHeight="1" s="78"/>
    <row r="908" ht="15.75" customHeight="1" s="78"/>
    <row r="909" ht="15.75" customHeight="1" s="78"/>
    <row r="910" ht="15.75" customHeight="1" s="78"/>
    <row r="911" ht="15.75" customHeight="1" s="78"/>
    <row r="912" ht="15.75" customHeight="1" s="78"/>
    <row r="913" ht="15.75" customHeight="1" s="78"/>
    <row r="914" ht="15.75" customHeight="1" s="78"/>
    <row r="915" ht="15.75" customHeight="1" s="78"/>
    <row r="916" ht="15.75" customHeight="1" s="78"/>
    <row r="917" ht="15.75" customHeight="1" s="78"/>
    <row r="918" ht="15.75" customHeight="1" s="78"/>
    <row r="919" ht="15.75" customHeight="1" s="78"/>
    <row r="920" ht="15.75" customHeight="1" s="78"/>
    <row r="921" ht="15.75" customHeight="1" s="78"/>
    <row r="922" ht="15.75" customHeight="1" s="78"/>
    <row r="923" ht="15.75" customHeight="1" s="78"/>
    <row r="924" ht="15.75" customHeight="1" s="78"/>
    <row r="925" ht="15.75" customHeight="1" s="78"/>
    <row r="926" ht="15.75" customHeight="1" s="78"/>
    <row r="927" ht="15.75" customHeight="1" s="78"/>
    <row r="928" ht="15.75" customHeight="1" s="78"/>
    <row r="929" ht="15.75" customHeight="1" s="78"/>
    <row r="930" ht="15.75" customHeight="1" s="78"/>
    <row r="931" ht="15.75" customHeight="1" s="78"/>
    <row r="932" ht="15.75" customHeight="1" s="78"/>
    <row r="933" ht="15.75" customHeight="1" s="78"/>
    <row r="934" ht="15.75" customHeight="1" s="78"/>
    <row r="935" ht="15.75" customHeight="1" s="78"/>
    <row r="936" ht="15.75" customHeight="1" s="78"/>
    <row r="937" ht="15.75" customHeight="1" s="78"/>
    <row r="938" ht="15.75" customHeight="1" s="78"/>
    <row r="939" ht="15.75" customHeight="1" s="78"/>
    <row r="940" ht="15.75" customHeight="1" s="78"/>
    <row r="941" ht="15.75" customHeight="1" s="78"/>
    <row r="942" ht="15.75" customHeight="1" s="78"/>
    <row r="943" ht="15.75" customHeight="1" s="78"/>
    <row r="944" ht="15.75" customHeight="1" s="78"/>
    <row r="945" ht="15.75" customHeight="1" s="78"/>
    <row r="946" ht="15.75" customHeight="1" s="78"/>
    <row r="947" ht="15.75" customHeight="1" s="78"/>
    <row r="948" ht="15.75" customHeight="1" s="78"/>
    <row r="949" ht="15.75" customHeight="1" s="78"/>
    <row r="950" ht="15.75" customHeight="1" s="78"/>
    <row r="951" ht="15.75" customHeight="1" s="78"/>
    <row r="952" ht="15.75" customHeight="1" s="78"/>
    <row r="953" ht="15.75" customHeight="1" s="78"/>
    <row r="954" ht="15.75" customHeight="1" s="78"/>
    <row r="955" ht="15.75" customHeight="1" s="78"/>
    <row r="956" ht="15.75" customHeight="1" s="78"/>
    <row r="957" ht="15.75" customHeight="1" s="78"/>
    <row r="958" ht="15.75" customHeight="1" s="78"/>
    <row r="959" ht="15.75" customHeight="1" s="78"/>
    <row r="960" ht="15.75" customHeight="1" s="78"/>
    <row r="961" ht="15.75" customHeight="1" s="78"/>
    <row r="962" ht="15.75" customHeight="1" s="78"/>
    <row r="963" ht="15.75" customHeight="1" s="78"/>
    <row r="964" ht="15.75" customHeight="1" s="78"/>
    <row r="965" ht="15.75" customHeight="1" s="78"/>
    <row r="966" ht="15.75" customHeight="1" s="78"/>
    <row r="967" ht="15.75" customHeight="1" s="78"/>
    <row r="968" ht="15.75" customHeight="1" s="78"/>
    <row r="969" ht="15.75" customHeight="1" s="78"/>
    <row r="970" ht="15.75" customHeight="1" s="78"/>
    <row r="971" ht="15.75" customHeight="1" s="78"/>
    <row r="972" ht="15.75" customHeight="1" s="78"/>
    <row r="973" ht="15.75" customHeight="1" s="78"/>
    <row r="974" ht="15.75" customHeight="1" s="78"/>
    <row r="975" ht="15.75" customHeight="1" s="78"/>
    <row r="976" ht="15.75" customHeight="1" s="78"/>
    <row r="977" ht="15.75" customHeight="1" s="78"/>
    <row r="978" ht="15.75" customHeight="1" s="78"/>
    <row r="979" ht="15.75" customHeight="1" s="78"/>
    <row r="980" ht="15.75" customHeight="1" s="78"/>
    <row r="981" ht="15.75" customHeight="1" s="78"/>
    <row r="982" ht="15.75" customHeight="1" s="78"/>
    <row r="983" ht="15.75" customHeight="1" s="78"/>
    <row r="984" ht="15.75" customHeight="1" s="78"/>
    <row r="985" ht="15.75" customHeight="1" s="78"/>
    <row r="986" ht="15.75" customHeight="1" s="78"/>
    <row r="987" ht="15.75" customHeight="1" s="78"/>
    <row r="988" ht="15.75" customHeight="1" s="78"/>
    <row r="989" ht="15.75" customHeight="1" s="78"/>
    <row r="990" ht="15.75" customHeight="1" s="78"/>
    <row r="991" ht="15.75" customHeight="1" s="78"/>
    <row r="992" ht="15.75" customHeight="1" s="78"/>
    <row r="993" ht="15.75" customHeight="1" s="78"/>
    <row r="994" ht="15.75" customHeight="1" s="78"/>
    <row r="995" ht="15.75" customHeight="1" s="78"/>
    <row r="996" ht="15.75" customHeight="1" s="78"/>
    <row r="997" ht="15.75" customHeight="1" s="78"/>
    <row r="998" ht="15.75" customHeight="1" s="78"/>
    <row r="999" ht="15.75" customHeight="1" s="78"/>
    <row r="1000" ht="15.75" customHeight="1" s="78"/>
  </sheetData>
  <mergeCells count="19">
    <mergeCell ref="A41:F41"/>
    <mergeCell ref="E43:F43"/>
    <mergeCell ref="E42:F42"/>
    <mergeCell ref="A43:D43"/>
    <mergeCell ref="E48:F48"/>
    <mergeCell ref="E44:F44"/>
    <mergeCell ref="A44:D44"/>
    <mergeCell ref="A48:D48"/>
    <mergeCell ref="A49:D49"/>
    <mergeCell ref="A45:D45"/>
    <mergeCell ref="E46:F46"/>
    <mergeCell ref="E49:F49"/>
    <mergeCell ref="E45:F45"/>
    <mergeCell ref="A46:D46"/>
    <mergeCell ref="A1:F1"/>
    <mergeCell ref="A47:D47"/>
    <mergeCell ref="A42:D42"/>
    <mergeCell ref="A2:M2"/>
    <mergeCell ref="E47:F47"/>
  </mergeCells>
  <dataValidations count="1">
    <dataValidation sqref="F5:F39" showDropDown="0" showInputMessage="0" showErrorMessage="0" allowBlank="1" type="list">
      <formula1>"Pass,Partial,Fail,Not Tested,N/A"</formula1>
    </dataValidation>
  </dataValidations>
  <pageMargins left="0.75" right="0.75" top="1" bottom="1" header="0" footer="0"/>
  <pageSetup orientation="landscape" fitToHeight="0"/>
</worksheet>
</file>

<file path=xl/worksheets/sheet5.xml><?xml version="1.0" encoding="utf-8"?>
<worksheet xmlns="http://schemas.openxmlformats.org/spreadsheetml/2006/main">
  <sheetPr>
    <outlinePr summaryBelow="1" summaryRight="1"/>
    <pageSetUpPr fitToPage="1"/>
  </sheetPr>
  <dimension ref="A1:J22"/>
  <sheetViews>
    <sheetView showGridLines="0" workbookViewId="0">
      <pane ySplit="4" topLeftCell="A5" activePane="bottomLeft" state="frozen"/>
      <selection pane="bottomLeft" activeCell="B6" sqref="B6"/>
    </sheetView>
  </sheetViews>
  <sheetFormatPr baseColWidth="8" defaultColWidth="14.43" defaultRowHeight="15" customHeight="1"/>
  <cols>
    <col width="6" customWidth="1" style="78" min="1" max="1"/>
    <col width="46" customWidth="1" style="78" min="2" max="2"/>
    <col width="26" customWidth="1" style="78" min="3" max="3"/>
    <col width="9" customWidth="1" style="78" min="4" max="4"/>
    <col width="13.71" customWidth="1" style="78" min="5" max="5"/>
    <col width="9" customWidth="1" style="78" min="6" max="6"/>
    <col width="40" customWidth="1" style="78" min="7" max="7"/>
    <col width="11" customWidth="1" style="78" min="8" max="8"/>
    <col width="8" customWidth="1" style="78" min="9" max="9"/>
    <col width="50" customWidth="1" style="78" min="10" max="10"/>
    <col width="8.710000000000001" customWidth="1" style="78" min="11" max="26"/>
  </cols>
  <sheetData>
    <row r="1">
      <c r="A1" s="76" t="inlineStr">
        <is>
          <t>Financial Transaction Accessibility (Supplemental) BK Mobile</t>
        </is>
      </c>
    </row>
    <row r="2" ht="15" customHeight="1" s="78">
      <c r="A2" s="6" t="inlineStr">
        <is>
          <t>Not part of WCAG. Grounded in GSMA Mobile Money Accessibility Guidelines, ITU-T F.921, and EN 301 549's authentication / real-time-transaction clauses. Blue cells are inputs.</t>
        </is>
      </c>
    </row>
    <row r="4" ht="30" customHeight="1" s="78">
      <c r="A4" s="8" t="inlineStr">
        <is>
          <t>Ref</t>
        </is>
      </c>
      <c r="B4" s="8" t="inlineStr">
        <is>
          <t>Check</t>
        </is>
      </c>
      <c r="C4" s="8" t="inlineStr">
        <is>
          <t>Standard reference</t>
        </is>
      </c>
      <c r="D4" s="8" t="inlineStr">
        <is>
          <t>Weight
(1-3)</t>
        </is>
      </c>
      <c r="E4" s="8" t="inlineStr">
        <is>
          <t>Status</t>
        </is>
      </c>
      <c r="F4" s="8" t="inlineStr">
        <is>
          <t>Status
score</t>
        </is>
      </c>
      <c r="G4" s="8" t="inlineStr">
        <is>
          <t>Notes / Evidence</t>
        </is>
      </c>
      <c r="H4" s="8" t="inlineStr">
        <is>
          <t>Weighted
score</t>
        </is>
      </c>
      <c r="I4" s="18" t="inlineStr">
        <is>
          <t>Tested?</t>
        </is>
      </c>
      <c r="J4" s="8" t="inlineStr">
        <is>
          <t>Recommended Improvement</t>
        </is>
      </c>
    </row>
    <row r="5">
      <c r="A5" s="10" t="inlineStr">
        <is>
          <t>T1</t>
        </is>
      </c>
      <c r="B5" s="17" t="inlineStr">
        <is>
          <t>Transaction confirmation screen states recipient, amount, currency and fee as one clear announced statement before an irreversible send.</t>
        </is>
      </c>
      <c r="C5" s="39" t="inlineStr">
        <is>
          <t>WCAG 3.3.4; GSMA MM Accessibility Guideline 4.2</t>
        </is>
      </c>
      <c r="D5" s="23" t="n">
        <v>3</v>
      </c>
      <c r="E5" s="43" t="inlineStr">
        <is>
          <t>Partial</t>
        </is>
      </c>
      <c r="F5" s="15">
        <f>IF(E5="Pass",1,IF(E5="Partial",0.5,IF(E5="Fail",0,0)))</f>
        <v/>
      </c>
      <c r="G5" s="34" t="inlineStr">
        <is>
          <t>Confirm-transfer fields exist but are flagged as generic elements, not label+value pairs (see WCAG tab, 3.3.4).</t>
        </is>
      </c>
      <c r="H5" s="15">
        <f>D5*F5</f>
        <v/>
      </c>
      <c r="I5" s="15">
        <f>IF(OR(E5="Pass",E5="Partial",E5="Fail"),1,0)</f>
        <v/>
      </c>
      <c r="J5" s="62" t="inlineStr">
        <is>
          <t>Convert the Confirm-Transfer label+value rows into one coherent announced statement per field (e.g. 'Recipient: [name]'), the transaction-specific expression of the 4.1.2 / 3.3.2 fixes above.</t>
        </is>
      </c>
    </row>
    <row r="6">
      <c r="A6" s="22" t="inlineStr">
        <is>
          <t>T2</t>
        </is>
      </c>
      <c r="B6" s="33" t="inlineStr">
        <is>
          <t>Time allowed to enter an OTP/PIN or confirm a transfer can be extended, and is not so short that assistive-tech input causes failure.</t>
        </is>
      </c>
      <c r="C6" s="46" t="inlineStr">
        <is>
          <t>WCAG 2.2.1; EN 301 549 §11.7</t>
        </is>
      </c>
      <c r="D6" s="42" t="n">
        <v>2</v>
      </c>
      <c r="E6" s="50" t="inlineStr">
        <is>
          <t>Not Tested</t>
        </is>
      </c>
      <c r="F6" s="29">
        <f>IF(E6="Pass",1,IF(E6="Partial",0.5,IF(E6="Fail",0,0)))</f>
        <v/>
      </c>
      <c r="G6" s="45" t="inlineStr">
        <is>
          <t>Requires manual timing test with TalkBack enabled.</t>
        </is>
      </c>
      <c r="H6" s="29">
        <f>D6*F6</f>
        <v/>
      </c>
      <c r="I6" s="29">
        <f>IF(OR(E6="Pass",E6="Partial",E6="Fail"),1,0)</f>
        <v/>
      </c>
      <c r="J6" s="57" t="inlineStr">
        <is>
          <t>No fix to prescribe yet - conduct the manual test first to confirm actual status.</t>
        </is>
      </c>
    </row>
    <row r="7">
      <c r="A7" s="10" t="inlineStr">
        <is>
          <t>T3</t>
        </is>
      </c>
      <c r="B7" s="17" t="inlineStr">
        <is>
          <t>Transaction success or failure is announced non-visually (spoken/haptic), not only as an on-screen toast.</t>
        </is>
      </c>
      <c r="C7" s="39" t="inlineStr">
        <is>
          <t>WCAG 4.1.3; GSMA MM Accessibility Guideline 4.4</t>
        </is>
      </c>
      <c r="D7" s="23" t="n">
        <v>3</v>
      </c>
      <c r="E7" s="50" t="inlineStr">
        <is>
          <t>Not Tested</t>
        </is>
      </c>
      <c r="F7" s="15">
        <f>IF(E7="Pass",1,IF(E7="Partial",0.5,IF(E7="Fail",0,0)))</f>
        <v/>
      </c>
      <c r="G7" s="34" t="inlineStr">
        <is>
          <t>Requires manual test; automated scanning cannot capture transient toast messages.</t>
        </is>
      </c>
      <c r="H7" s="15">
        <f>D7*F7</f>
        <v/>
      </c>
      <c r="I7" s="15">
        <f>IF(OR(E7="Pass",E7="Partial",E7="Fail"),1,0)</f>
        <v/>
      </c>
      <c r="J7" s="53" t="inlineStr">
        <is>
          <t>No fix to prescribe yet - conduct the manual test first to confirm actual status.</t>
        </is>
      </c>
    </row>
    <row r="8">
      <c r="A8" s="22" t="inlineStr">
        <is>
          <t>T4</t>
        </is>
      </c>
      <c r="B8" s="33" t="inlineStr">
        <is>
          <t>Digital receipts / statements (SMS, email, in-app PDF) are delivered as accessible text, not a flattened image.</t>
        </is>
      </c>
      <c r="C8" s="46" t="inlineStr">
        <is>
          <t>GSMA MM Accessibility Guideline 5.1</t>
        </is>
      </c>
      <c r="D8" s="42" t="n">
        <v>2</v>
      </c>
      <c r="E8" s="50" t="inlineStr">
        <is>
          <t>Not Tested</t>
        </is>
      </c>
      <c r="F8" s="29">
        <f>IF(E8="Pass",1,IF(E8="Partial",0.5,IF(E8="Fail",0,0)))</f>
        <v/>
      </c>
      <c r="G8" s="45" t="inlineStr">
        <is>
          <t>Statement export (Get Statement) observed in-app; format and screen-reader compatibility not verified.</t>
        </is>
      </c>
      <c r="H8" s="29">
        <f>D8*F8</f>
        <v/>
      </c>
      <c r="I8" s="29">
        <f>IF(OR(E8="Pass",E8="Partial",E8="Fail"),1,0)</f>
        <v/>
      </c>
      <c r="J8" s="57" t="inlineStr">
        <is>
          <t>No fix to prescribe yet - conduct the manual test first to confirm actual status.</t>
        </is>
      </c>
    </row>
    <row r="9">
      <c r="A9" s="10" t="inlineStr">
        <is>
          <t>T5</t>
        </is>
      </c>
      <c r="B9" s="17" t="inlineStr">
        <is>
          <t>Amounts and currency are unambiguous when read aloud (e.g. 'RWF 1,000' is not mis-announced as a date or misread digit-by-digit).</t>
        </is>
      </c>
      <c r="C9" s="39" t="inlineStr">
        <is>
          <t>ITU-T F.921 §6.3</t>
        </is>
      </c>
      <c r="D9" s="23" t="n">
        <v>2</v>
      </c>
      <c r="E9" s="50" t="inlineStr">
        <is>
          <t>Not Tested</t>
        </is>
      </c>
      <c r="F9" s="15">
        <f>IF(E9="Pass",1,IF(E9="Partial",0.5,IF(E9="Fail",0,0)))</f>
        <v/>
      </c>
      <c r="G9" s="34" t="inlineStr">
        <is>
          <t>Requires manual screen-reader listening test on amount fields.</t>
        </is>
      </c>
      <c r="H9" s="15">
        <f>D9*F9</f>
        <v/>
      </c>
      <c r="I9" s="15">
        <f>IF(OR(E9="Pass",E9="Partial",E9="Fail"),1,0)</f>
        <v/>
      </c>
      <c r="J9" s="53" t="inlineStr">
        <is>
          <t>No fix to prescribe yet - conduct the manual test first to confirm actual status.</t>
        </is>
      </c>
    </row>
    <row r="10">
      <c r="A10" s="22" t="inlineStr">
        <is>
          <t>T6</t>
        </is>
      </c>
      <c r="B10" s="33" t="inlineStr">
        <is>
          <t>A non-touchscreen channel (USSD, IVR, or agent-assisted banking) exists for users who cannot operate a smartphone app, and that channel is itself usable non-visually.</t>
        </is>
      </c>
      <c r="C10" s="46" t="inlineStr">
        <is>
          <t>GSMA MM Accessibility Guideline 2.1; ITU-D digital financial inclusion guidance</t>
        </is>
      </c>
      <c r="D10" s="42" t="n">
        <v>3</v>
      </c>
      <c r="E10" s="50" t="inlineStr">
        <is>
          <t>Not Tested</t>
        </is>
      </c>
      <c r="F10" s="29">
        <f>IF(E10="Pass",1,IF(E10="Partial",0.5,IF(E10="Fail",0,0)))</f>
        <v/>
      </c>
      <c r="G10" s="45" t="inlineStr">
        <is>
          <t>Out of scope for this app-only scan. Material gap for East Africa: much mobile money usage is USSD/agent-based, not app-based, and this scorecard has not evaluated that channel at all.</t>
        </is>
      </c>
      <c r="H10" s="29">
        <f>D10*F10</f>
        <v/>
      </c>
      <c r="I10" s="29">
        <f>IF(OR(E10="Pass",E10="Partial",E10="Fail"),1,0)</f>
        <v/>
      </c>
      <c r="J10" s="57" t="inlineStr">
        <is>
          <t>No fix to prescribe yet - conduct the manual test first to confirm actual status.</t>
        </is>
      </c>
    </row>
    <row r="11">
      <c r="A11" s="10" t="inlineStr">
        <is>
          <t>T7</t>
        </is>
      </c>
      <c r="B11" s="17" t="inlineStr">
        <is>
          <t>Biometric login is offered as an alternative to a spoken/visible PIN.</t>
        </is>
      </c>
      <c r="C11" s="39" t="inlineStr">
        <is>
          <t>WCAG 3.3.7/3.3.8</t>
        </is>
      </c>
      <c r="D11" s="23" t="n">
        <v>2</v>
      </c>
      <c r="E11" s="50" t="inlineStr">
        <is>
          <t>Not Tested</t>
        </is>
      </c>
      <c r="F11" s="15">
        <f>IF(E11="Pass",1,IF(E11="Partial",0.5,IF(E11="Fail",0,0)))</f>
        <v/>
      </c>
      <c r="G11" s="34" t="inlineStr">
        <is>
          <t>Not confirmed from screenshots; login flow only showed passcode entry.</t>
        </is>
      </c>
      <c r="H11" s="15">
        <f>D11*F11</f>
        <v/>
      </c>
      <c r="I11" s="15">
        <f>IF(OR(E11="Pass",E11="Partial",E11="Fail"),1,0)</f>
        <v/>
      </c>
      <c r="J11" s="53" t="inlineStr">
        <is>
          <t>No fix to prescribe yet - conduct the manual test first to confirm actual status.</t>
        </is>
      </c>
    </row>
    <row r="12">
      <c r="A12" s="22" t="inlineStr">
        <is>
          <t>T8</t>
        </is>
      </c>
      <c r="B12" s="33" t="inlineStr">
        <is>
          <t>Fraud/security alerts and a dispute or help-escalation path are reachable and readable with a screen reader.</t>
        </is>
      </c>
      <c r="C12" s="46" t="inlineStr">
        <is>
          <t>EN 301 549 §11.8; GSMA MM Accessibility Guideline 4.5</t>
        </is>
      </c>
      <c r="D12" s="42" t="n">
        <v>2</v>
      </c>
      <c r="E12" s="43" t="inlineStr">
        <is>
          <t>Partial</t>
        </is>
      </c>
      <c r="F12" s="29">
        <f>IF(E12="Pass",1,IF(E12="Partial",0.5,IF(E12="Fail",0,0)))</f>
        <v/>
      </c>
      <c r="G12" s="45" t="inlineStr">
        <is>
          <t>'Email us' / 'Call us locally' links are present as visible text on the home screen; screen-reader compatibility and fraud-alert flows not verified.</t>
        </is>
      </c>
      <c r="H12" s="29">
        <f>D12*F12</f>
        <v/>
      </c>
      <c r="I12" s="29">
        <f>IF(OR(E12="Pass",E12="Partial",E12="Fail"),1,0)</f>
        <v/>
      </c>
      <c r="J12" s="47" t="inlineStr">
        <is>
          <t>Confirm 'Email us' and 'Call us locally' are announced with clear accessible names and roles, and manually test that the actual fraud-alert and dispute-resolution flow behind them (not just the entry link) is screen-reader accessible end to end.</t>
        </is>
      </c>
    </row>
    <row r="13">
      <c r="A13" s="10" t="inlineStr">
        <is>
          <t>T9</t>
        </is>
      </c>
      <c r="B13" s="17" t="inlineStr">
        <is>
          <t>Transaction limits, fees and exchange rates are disclosed as accessible text before confirmation, not only visually.</t>
        </is>
      </c>
      <c r="C13" s="39" t="inlineStr">
        <is>
          <t>WCAG 3.3.4; consumer-protection disclosure norms (e.g. AFI / GSMA)</t>
        </is>
      </c>
      <c r="D13" s="23" t="n">
        <v>3</v>
      </c>
      <c r="E13" s="43" t="inlineStr">
        <is>
          <t>Partial</t>
        </is>
      </c>
      <c r="F13" s="15">
        <f>IF(E13="Pass",1,IF(E13="Partial",0.5,IF(E13="Fail",0,0)))</f>
        <v/>
      </c>
      <c r="G13" s="34" t="inlineStr">
        <is>
          <t>A 'Transaction Fee' field is shown on Confirm Transfer, but flagged under 3.3.4/4.1.2 as not confirmed accessible.</t>
        </is>
      </c>
      <c r="H13" s="15">
        <f>D13*F13</f>
        <v/>
      </c>
      <c r="I13" s="15">
        <f>IF(OR(E13="Pass",E13="Partial",E13="Fail"),1,0)</f>
        <v/>
      </c>
      <c r="J13" s="62" t="inlineStr">
        <is>
          <t>Expose the 'Transaction Fee' field, and any transaction limit or exchange-rate disclosure, as accessible text explicitly tied to its label - not a generically-labelled value a screen reader can't connect to what it represents.</t>
        </is>
      </c>
    </row>
    <row r="14">
      <c r="A14" s="22" t="inlineStr">
        <is>
          <t>T10</t>
        </is>
      </c>
      <c r="B14" s="33" t="inlineStr">
        <is>
          <t>A multi-step transaction does not require re-entering the same information (e.g. phone number typed once, reused for confirmation).</t>
        </is>
      </c>
      <c r="C14" s="46" t="inlineStr">
        <is>
          <t>WCAG 3.3.9</t>
        </is>
      </c>
      <c r="D14" s="42" t="n">
        <v>1</v>
      </c>
      <c r="E14" s="50" t="inlineStr">
        <is>
          <t>Not Tested</t>
        </is>
      </c>
      <c r="F14" s="29">
        <f>IF(E14="Pass",1,IF(E14="Partial",0.5,IF(E14="Fail",0,0)))</f>
        <v/>
      </c>
      <c r="G14" s="45" t="inlineStr">
        <is>
          <t>Requires manual walkthrough of the full transfer flow.</t>
        </is>
      </c>
      <c r="H14" s="29">
        <f>D14*F14</f>
        <v/>
      </c>
      <c r="I14" s="29">
        <f>IF(OR(E14="Pass",E14="Partial",E14="Fail"),1,0)</f>
        <v/>
      </c>
      <c r="J14" s="57" t="inlineStr">
        <is>
          <t>No fix to prescribe yet - conduct the manual test first to confirm actual status.</t>
        </is>
      </c>
    </row>
    <row r="15">
      <c r="A15" s="10" t="inlineStr">
        <is>
          <t>T11</t>
        </is>
      </c>
      <c r="B15" s="17" t="inlineStr">
        <is>
          <t>Switching app language does not reset or lose an in-progress transaction, and the switcher itself is screen-reader accessible.</t>
        </is>
      </c>
      <c r="C15" s="39" t="inlineStr">
        <is>
          <t>WCAG 3.1.2; EN 301 549 §11.9</t>
        </is>
      </c>
      <c r="D15" s="23" t="n">
        <v>1</v>
      </c>
      <c r="E15" s="50" t="inlineStr">
        <is>
          <t>Not Tested</t>
        </is>
      </c>
      <c r="F15" s="15">
        <f>IF(E15="Pass",1,IF(E15="Partial",0.5,IF(E15="Fail",0,0)))</f>
        <v/>
      </c>
      <c r="G15" s="34" t="inlineStr">
        <is>
          <t>An 'EN' language selector is visible on the login screen; behaviour when switched mid-task not tested.</t>
        </is>
      </c>
      <c r="H15" s="15">
        <f>D15*F15</f>
        <v/>
      </c>
      <c r="I15" s="15">
        <f>IF(OR(E15="Pass",E15="Partial",E15="Fail"),1,0)</f>
        <v/>
      </c>
      <c r="J15" s="53" t="inlineStr">
        <is>
          <t>No fix to prescribe yet - conduct the manual test first to confirm actual status.</t>
        </is>
      </c>
    </row>
    <row r="16">
      <c r="A16" s="22" t="inlineStr">
        <is>
          <t>T12</t>
        </is>
      </c>
      <c r="B16" s="33" t="inlineStr">
        <is>
          <t>An accessible-format customer support channel (toll-free voice line, etc.) is discoverable for a user who cannot complete a transaction independently.</t>
        </is>
      </c>
      <c r="C16" s="46" t="inlineStr">
        <is>
          <t>GSMA MM Accessibility Guideline 4.5</t>
        </is>
      </c>
      <c r="D16" s="42" t="n">
        <v>2</v>
      </c>
      <c r="E16" s="54" t="inlineStr">
        <is>
          <t>Pass</t>
        </is>
      </c>
      <c r="F16" s="29">
        <f>IF(E16="Pass",1,IF(E16="Partial",0.5,IF(E16="Fail",0,0)))</f>
        <v/>
      </c>
      <c r="G16" s="45" t="inlineStr">
        <is>
          <t>'Email us' and 'Call us locally' are both present as plain, readable text on the home screen.</t>
        </is>
      </c>
      <c r="H16" s="29">
        <f>D16*F16</f>
        <v/>
      </c>
      <c r="I16" s="29">
        <f>IF(OR(E16="Pass",E16="Partial",E16="Fail"),1,0)</f>
        <v/>
      </c>
      <c r="J16" s="57" t="inlineStr">
        <is>
          <t>No action needed on current evidence.</t>
        </is>
      </c>
    </row>
    <row r="18">
      <c r="A18" s="98" t="inlineStr">
        <is>
          <t>TRANSACTION ACCESSIBILITY SCORE</t>
        </is>
      </c>
      <c r="B18" s="92" t="n"/>
      <c r="C18" s="92" t="n"/>
      <c r="D18" s="93" t="n"/>
    </row>
    <row r="19">
      <c r="A19" s="94" t="inlineStr">
        <is>
          <t>Weighted score achieved (sum)</t>
        </is>
      </c>
      <c r="B19" s="92" t="n"/>
      <c r="C19" s="93" t="n"/>
      <c r="D19" s="29">
        <f>SUM(H5:H16)</f>
        <v/>
      </c>
      <c r="E19" s="93" t="n"/>
    </row>
    <row r="20">
      <c r="A20" s="94" t="inlineStr">
        <is>
          <t>Weighted score possible (tested only)</t>
        </is>
      </c>
      <c r="B20" s="92" t="n"/>
      <c r="C20" s="93" t="n"/>
      <c r="D20" s="29">
        <f>SUMPRODUCT(I5:I16*D5:D16)</f>
        <v/>
      </c>
      <c r="E20" s="93" t="n"/>
    </row>
    <row r="21" ht="15.75" customHeight="1" s="78">
      <c r="A21" s="99" t="inlineStr">
        <is>
          <t>TRANSACTION SCORE (0-100)</t>
        </is>
      </c>
      <c r="B21" s="92" t="n"/>
      <c r="C21" s="93" t="n"/>
      <c r="D21" s="96">
        <f>IFERROR(D19/D20*100,0)</f>
        <v/>
      </c>
      <c r="E21" s="93" t="n"/>
    </row>
    <row r="22" ht="15.75" customHeight="1" s="78">
      <c r="A22" s="94" t="inlineStr">
        <is>
          <t>Checks not yet tested (count)</t>
        </is>
      </c>
      <c r="B22" s="92" t="n"/>
      <c r="C22" s="93" t="n"/>
      <c r="D22" s="29">
        <f>COUNTIF(E5:E16,"Not Tested")</f>
        <v/>
      </c>
      <c r="E22" s="93" t="n"/>
    </row>
    <row r="23" ht="15.75" customHeight="1" s="78"/>
    <row r="24" ht="15.75" customHeight="1" s="78"/>
    <row r="25" ht="15.75" customHeight="1" s="78"/>
    <row r="26" ht="15.75" customHeight="1" s="78"/>
    <row r="27" ht="15.75" customHeight="1" s="78"/>
    <row r="28" ht="15.75" customHeight="1" s="78"/>
    <row r="29" ht="15.75" customHeight="1" s="78"/>
    <row r="30" ht="15.75" customHeight="1" s="78"/>
    <row r="31" ht="15.75" customHeight="1" s="78"/>
    <row r="32" ht="15.75" customHeight="1" s="78"/>
    <row r="33" ht="15.75" customHeight="1" s="78"/>
    <row r="34" ht="15.75" customHeight="1" s="78"/>
    <row r="35" ht="15.75" customHeight="1" s="78"/>
    <row r="36" ht="15.75" customHeight="1" s="78"/>
    <row r="37" ht="15.75" customHeight="1" s="78"/>
    <row r="38" ht="15.75" customHeight="1" s="78"/>
    <row r="39" ht="15.75" customHeight="1" s="78"/>
    <row r="40" ht="15.75" customHeight="1" s="78"/>
    <row r="41" ht="15.75" customHeight="1" s="78"/>
    <row r="42" ht="15.75" customHeight="1" s="78"/>
    <row r="43" ht="15.75" customHeight="1" s="78"/>
    <row r="44" ht="15.75" customHeight="1" s="78"/>
    <row r="45" ht="15.75" customHeight="1" s="78"/>
    <row r="46" ht="15.75" customHeight="1" s="78"/>
    <row r="47" ht="15.75" customHeight="1" s="78"/>
    <row r="48" ht="15.75" customHeight="1" s="78"/>
    <row r="49" ht="15.75" customHeight="1" s="78"/>
    <row r="50" ht="15.75" customHeight="1" s="78"/>
    <row r="51" ht="15.75" customHeight="1" s="78"/>
    <row r="52" ht="15.75" customHeight="1" s="78"/>
    <row r="53" ht="15.75" customHeight="1" s="78"/>
    <row r="54" ht="15.75" customHeight="1" s="78"/>
    <row r="55" ht="15.75" customHeight="1" s="78"/>
    <row r="56" ht="15.75" customHeight="1" s="78"/>
    <row r="57" ht="15.75" customHeight="1" s="78"/>
    <row r="58" ht="15.75" customHeight="1" s="78"/>
    <row r="59" ht="15.75" customHeight="1" s="78"/>
    <row r="60" ht="15.75" customHeight="1" s="78"/>
    <row r="61" ht="15.75" customHeight="1" s="78"/>
    <row r="62" ht="15.75" customHeight="1" s="78"/>
    <row r="63" ht="15.75" customHeight="1" s="78"/>
    <row r="64" ht="15.75" customHeight="1" s="78"/>
    <row r="65" ht="15.75" customHeight="1" s="78"/>
    <row r="66" ht="15.75" customHeight="1" s="78"/>
    <row r="67" ht="15.75" customHeight="1" s="78"/>
    <row r="68" ht="15.75" customHeight="1" s="78"/>
    <row r="69" ht="15.75" customHeight="1" s="78"/>
    <row r="70" ht="15.75" customHeight="1" s="78"/>
    <row r="71" ht="15.75" customHeight="1" s="78"/>
    <row r="72" ht="15.75" customHeight="1" s="78"/>
    <row r="73" ht="15.75" customHeight="1" s="78"/>
    <row r="74" ht="15.75" customHeight="1" s="78"/>
    <row r="75" ht="15.75" customHeight="1" s="78"/>
    <row r="76" ht="15.75" customHeight="1" s="78"/>
    <row r="77" ht="15.75" customHeight="1" s="78"/>
    <row r="78" ht="15.75" customHeight="1" s="78"/>
    <row r="79" ht="15.75" customHeight="1" s="78"/>
    <row r="80" ht="15.75" customHeight="1" s="78"/>
    <row r="81" ht="15.75" customHeight="1" s="78"/>
    <row r="82" ht="15.75" customHeight="1" s="78"/>
    <row r="83" ht="15.75" customHeight="1" s="78"/>
    <row r="84" ht="15.75" customHeight="1" s="78"/>
    <row r="85" ht="15.75" customHeight="1" s="78"/>
    <row r="86" ht="15.75" customHeight="1" s="78"/>
    <row r="87" ht="15.75" customHeight="1" s="78"/>
    <row r="88" ht="15.75" customHeight="1" s="78"/>
    <row r="89" ht="15.75" customHeight="1" s="78"/>
    <row r="90" ht="15.75" customHeight="1" s="78"/>
    <row r="91" ht="15.75" customHeight="1" s="78"/>
    <row r="92" ht="15.75" customHeight="1" s="78"/>
    <row r="93" ht="15.75" customHeight="1" s="78"/>
    <row r="94" ht="15.75" customHeight="1" s="78"/>
    <row r="95" ht="15.75" customHeight="1" s="78"/>
    <row r="96" ht="15.75" customHeight="1" s="78"/>
    <row r="97" ht="15.75" customHeight="1" s="78"/>
    <row r="98" ht="15.75" customHeight="1" s="78"/>
    <row r="99" ht="15.75" customHeight="1" s="78"/>
    <row r="100" ht="15.75" customHeight="1" s="78"/>
    <row r="101" ht="15.75" customHeight="1" s="78"/>
    <row r="102" ht="15.75" customHeight="1" s="78"/>
    <row r="103" ht="15.75" customHeight="1" s="78"/>
    <row r="104" ht="15.75" customHeight="1" s="78"/>
    <row r="105" ht="15.75" customHeight="1" s="78"/>
    <row r="106" ht="15.75" customHeight="1" s="78"/>
    <row r="107" ht="15.75" customHeight="1" s="78"/>
    <row r="108" ht="15.75" customHeight="1" s="78"/>
    <row r="109" ht="15.75" customHeight="1" s="78"/>
    <row r="110" ht="15.75" customHeight="1" s="78"/>
    <row r="111" ht="15.75" customHeight="1" s="78"/>
    <row r="112" ht="15.75" customHeight="1" s="78"/>
    <row r="113" ht="15.75" customHeight="1" s="78"/>
    <row r="114" ht="15.75" customHeight="1" s="78"/>
    <row r="115" ht="15.75" customHeight="1" s="78"/>
    <row r="116" ht="15.75" customHeight="1" s="78"/>
    <row r="117" ht="15.75" customHeight="1" s="78"/>
    <row r="118" ht="15.75" customHeight="1" s="78"/>
    <row r="119" ht="15.75" customHeight="1" s="78"/>
    <row r="120" ht="15.75" customHeight="1" s="78"/>
    <row r="121" ht="15.75" customHeight="1" s="78"/>
    <row r="122" ht="15.75" customHeight="1" s="78"/>
    <row r="123" ht="15.75" customHeight="1" s="78"/>
    <row r="124" ht="15.75" customHeight="1" s="78"/>
    <row r="125" ht="15.75" customHeight="1" s="78"/>
    <row r="126" ht="15.75" customHeight="1" s="78"/>
    <row r="127" ht="15.75" customHeight="1" s="78"/>
    <row r="128" ht="15.75" customHeight="1" s="78"/>
    <row r="129" ht="15.75" customHeight="1" s="78"/>
    <row r="130" ht="15.75" customHeight="1" s="78"/>
    <row r="131" ht="15.75" customHeight="1" s="78"/>
    <row r="132" ht="15.75" customHeight="1" s="78"/>
    <row r="133" ht="15.75" customHeight="1" s="78"/>
    <row r="134" ht="15.75" customHeight="1" s="78"/>
    <row r="135" ht="15.75" customHeight="1" s="78"/>
    <row r="136" ht="15.75" customHeight="1" s="78"/>
    <row r="137" ht="15.75" customHeight="1" s="78"/>
    <row r="138" ht="15.75" customHeight="1" s="78"/>
    <row r="139" ht="15.75" customHeight="1" s="78"/>
    <row r="140" ht="15.75" customHeight="1" s="78"/>
    <row r="141" ht="15.75" customHeight="1" s="78"/>
    <row r="142" ht="15.75" customHeight="1" s="78"/>
    <row r="143" ht="15.75" customHeight="1" s="78"/>
    <row r="144" ht="15.75" customHeight="1" s="78"/>
    <row r="145" ht="15.75" customHeight="1" s="78"/>
    <row r="146" ht="15.75" customHeight="1" s="78"/>
    <row r="147" ht="15.75" customHeight="1" s="78"/>
    <row r="148" ht="15.75" customHeight="1" s="78"/>
    <row r="149" ht="15.75" customHeight="1" s="78"/>
    <row r="150" ht="15.75" customHeight="1" s="78"/>
    <row r="151" ht="15.75" customHeight="1" s="78"/>
    <row r="152" ht="15.75" customHeight="1" s="78"/>
    <row r="153" ht="15.75" customHeight="1" s="78"/>
    <row r="154" ht="15.75" customHeight="1" s="78"/>
    <row r="155" ht="15.75" customHeight="1" s="78"/>
    <row r="156" ht="15.75" customHeight="1" s="78"/>
    <row r="157" ht="15.75" customHeight="1" s="78"/>
    <row r="158" ht="15.75" customHeight="1" s="78"/>
    <row r="159" ht="15.75" customHeight="1" s="78"/>
    <row r="160" ht="15.75" customHeight="1" s="78"/>
    <row r="161" ht="15.75" customHeight="1" s="78"/>
    <row r="162" ht="15.75" customHeight="1" s="78"/>
    <row r="163" ht="15.75" customHeight="1" s="78"/>
    <row r="164" ht="15.75" customHeight="1" s="78"/>
    <row r="165" ht="15.75" customHeight="1" s="78"/>
    <row r="166" ht="15.75" customHeight="1" s="78"/>
    <row r="167" ht="15.75" customHeight="1" s="78"/>
    <row r="168" ht="15.75" customHeight="1" s="78"/>
    <row r="169" ht="15.75" customHeight="1" s="78"/>
    <row r="170" ht="15.75" customHeight="1" s="78"/>
    <row r="171" ht="15.75" customHeight="1" s="78"/>
    <row r="172" ht="15.75" customHeight="1" s="78"/>
    <row r="173" ht="15.75" customHeight="1" s="78"/>
    <row r="174" ht="15.75" customHeight="1" s="78"/>
    <row r="175" ht="15.75" customHeight="1" s="78"/>
    <row r="176" ht="15.75" customHeight="1" s="78"/>
    <row r="177" ht="15.75" customHeight="1" s="78"/>
    <row r="178" ht="15.75" customHeight="1" s="78"/>
    <row r="179" ht="15.75" customHeight="1" s="78"/>
    <row r="180" ht="15.75" customHeight="1" s="78"/>
    <row r="181" ht="15.75" customHeight="1" s="78"/>
    <row r="182" ht="15.75" customHeight="1" s="78"/>
    <row r="183" ht="15.75" customHeight="1" s="78"/>
    <row r="184" ht="15.75" customHeight="1" s="78"/>
    <row r="185" ht="15.75" customHeight="1" s="78"/>
    <row r="186" ht="15.75" customHeight="1" s="78"/>
    <row r="187" ht="15.75" customHeight="1" s="78"/>
    <row r="188" ht="15.75" customHeight="1" s="78"/>
    <row r="189" ht="15.75" customHeight="1" s="78"/>
    <row r="190" ht="15.75" customHeight="1" s="78"/>
    <row r="191" ht="15.75" customHeight="1" s="78"/>
    <row r="192" ht="15.75" customHeight="1" s="78"/>
    <row r="193" ht="15.75" customHeight="1" s="78"/>
    <row r="194" ht="15.75" customHeight="1" s="78"/>
    <row r="195" ht="15.75" customHeight="1" s="78"/>
    <row r="196" ht="15.75" customHeight="1" s="78"/>
    <row r="197" ht="15.75" customHeight="1" s="78"/>
    <row r="198" ht="15.75" customHeight="1" s="78"/>
    <row r="199" ht="15.75" customHeight="1" s="78"/>
    <row r="200" ht="15.75" customHeight="1" s="78"/>
    <row r="201" ht="15.75" customHeight="1" s="78"/>
    <row r="202" ht="15.75" customHeight="1" s="78"/>
    <row r="203" ht="15.75" customHeight="1" s="78"/>
    <row r="204" ht="15.75" customHeight="1" s="78"/>
    <row r="205" ht="15.75" customHeight="1" s="78"/>
    <row r="206" ht="15.75" customHeight="1" s="78"/>
    <row r="207" ht="15.75" customHeight="1" s="78"/>
    <row r="208" ht="15.75" customHeight="1" s="78"/>
    <row r="209" ht="15.75" customHeight="1" s="78"/>
    <row r="210" ht="15.75" customHeight="1" s="78"/>
    <row r="211" ht="15.75" customHeight="1" s="78"/>
    <row r="212" ht="15.75" customHeight="1" s="78"/>
    <row r="213" ht="15.75" customHeight="1" s="78"/>
    <row r="214" ht="15.75" customHeight="1" s="78"/>
    <row r="215" ht="15.75" customHeight="1" s="78"/>
    <row r="216" ht="15.75" customHeight="1" s="78"/>
    <row r="217" ht="15.75" customHeight="1" s="78"/>
    <row r="218" ht="15.75" customHeight="1" s="78"/>
    <row r="219" ht="15.75" customHeight="1" s="78"/>
    <row r="220" ht="15.75" customHeight="1" s="78"/>
    <row r="221" ht="15.75" customHeight="1" s="78"/>
    <row r="222" ht="15.75" customHeight="1" s="78"/>
    <row r="223" ht="15.75" customHeight="1" s="78"/>
    <row r="224" ht="15.75" customHeight="1" s="78"/>
    <row r="225" ht="15.75" customHeight="1" s="78"/>
    <row r="226" ht="15.75" customHeight="1" s="78"/>
    <row r="227" ht="15.75" customHeight="1" s="78"/>
    <row r="228" ht="15.75" customHeight="1" s="78"/>
    <row r="229" ht="15.75" customHeight="1" s="78"/>
    <row r="230" ht="15.75" customHeight="1" s="78"/>
    <row r="231" ht="15.75" customHeight="1" s="78"/>
    <row r="232" ht="15.75" customHeight="1" s="78"/>
    <row r="233" ht="15.75" customHeight="1" s="78"/>
    <row r="234" ht="15.75" customHeight="1" s="78"/>
    <row r="235" ht="15.75" customHeight="1" s="78"/>
    <row r="236" ht="15.75" customHeight="1" s="78"/>
    <row r="237" ht="15.75" customHeight="1" s="78"/>
    <row r="238" ht="15.75" customHeight="1" s="78"/>
    <row r="239" ht="15.75" customHeight="1" s="78"/>
    <row r="240" ht="15.75" customHeight="1" s="78"/>
    <row r="241" ht="15.75" customHeight="1" s="78"/>
    <row r="242" ht="15.75" customHeight="1" s="78"/>
    <row r="243" ht="15.75" customHeight="1" s="78"/>
    <row r="244" ht="15.75" customHeight="1" s="78"/>
    <row r="245" ht="15.75" customHeight="1" s="78"/>
    <row r="246" ht="15.75" customHeight="1" s="78"/>
    <row r="247" ht="15.75" customHeight="1" s="78"/>
    <row r="248" ht="15.75" customHeight="1" s="78"/>
    <row r="249" ht="15.75" customHeight="1" s="78"/>
    <row r="250" ht="15.75" customHeight="1" s="78"/>
    <row r="251" ht="15.75" customHeight="1" s="78"/>
    <row r="252" ht="15.75" customHeight="1" s="78"/>
    <row r="253" ht="15.75" customHeight="1" s="78"/>
    <row r="254" ht="15.75" customHeight="1" s="78"/>
    <row r="255" ht="15.75" customHeight="1" s="78"/>
    <row r="256" ht="15.75" customHeight="1" s="78"/>
    <row r="257" ht="15.75" customHeight="1" s="78"/>
    <row r="258" ht="15.75" customHeight="1" s="78"/>
    <row r="259" ht="15.75" customHeight="1" s="78"/>
    <row r="260" ht="15.75" customHeight="1" s="78"/>
    <row r="261" ht="15.75" customHeight="1" s="78"/>
    <row r="262" ht="15.75" customHeight="1" s="78"/>
    <row r="263" ht="15.75" customHeight="1" s="78"/>
    <row r="264" ht="15.75" customHeight="1" s="78"/>
    <row r="265" ht="15.75" customHeight="1" s="78"/>
    <row r="266" ht="15.75" customHeight="1" s="78"/>
    <row r="267" ht="15.75" customHeight="1" s="78"/>
    <row r="268" ht="15.75" customHeight="1" s="78"/>
    <row r="269" ht="15.75" customHeight="1" s="78"/>
    <row r="270" ht="15.75" customHeight="1" s="78"/>
    <row r="271" ht="15.75" customHeight="1" s="78"/>
    <row r="272" ht="15.75" customHeight="1" s="78"/>
    <row r="273" ht="15.75" customHeight="1" s="78"/>
    <row r="274" ht="15.75" customHeight="1" s="78"/>
    <row r="275" ht="15.75" customHeight="1" s="78"/>
    <row r="276" ht="15.75" customHeight="1" s="78"/>
    <row r="277" ht="15.75" customHeight="1" s="78"/>
    <row r="278" ht="15.75" customHeight="1" s="78"/>
    <row r="279" ht="15.75" customHeight="1" s="78"/>
    <row r="280" ht="15.75" customHeight="1" s="78"/>
    <row r="281" ht="15.75" customHeight="1" s="78"/>
    <row r="282" ht="15.75" customHeight="1" s="78"/>
    <row r="283" ht="15.75" customHeight="1" s="78"/>
    <row r="284" ht="15.75" customHeight="1" s="78"/>
    <row r="285" ht="15.75" customHeight="1" s="78"/>
    <row r="286" ht="15.75" customHeight="1" s="78"/>
    <row r="287" ht="15.75" customHeight="1" s="78"/>
    <row r="288" ht="15.75" customHeight="1" s="78"/>
    <row r="289" ht="15.75" customHeight="1" s="78"/>
    <row r="290" ht="15.75" customHeight="1" s="78"/>
    <row r="291" ht="15.75" customHeight="1" s="78"/>
    <row r="292" ht="15.75" customHeight="1" s="78"/>
    <row r="293" ht="15.75" customHeight="1" s="78"/>
    <row r="294" ht="15.75" customHeight="1" s="78"/>
    <row r="295" ht="15.75" customHeight="1" s="78"/>
    <row r="296" ht="15.75" customHeight="1" s="78"/>
    <row r="297" ht="15.75" customHeight="1" s="78"/>
    <row r="298" ht="15.75" customHeight="1" s="78"/>
    <row r="299" ht="15.75" customHeight="1" s="78"/>
    <row r="300" ht="15.75" customHeight="1" s="78"/>
    <row r="301" ht="15.75" customHeight="1" s="78"/>
    <row r="302" ht="15.75" customHeight="1" s="78"/>
    <row r="303" ht="15.75" customHeight="1" s="78"/>
    <row r="304" ht="15.75" customHeight="1" s="78"/>
    <row r="305" ht="15.75" customHeight="1" s="78"/>
    <row r="306" ht="15.75" customHeight="1" s="78"/>
    <row r="307" ht="15.75" customHeight="1" s="78"/>
    <row r="308" ht="15.75" customHeight="1" s="78"/>
    <row r="309" ht="15.75" customHeight="1" s="78"/>
    <row r="310" ht="15.75" customHeight="1" s="78"/>
    <row r="311" ht="15.75" customHeight="1" s="78"/>
    <row r="312" ht="15.75" customHeight="1" s="78"/>
    <row r="313" ht="15.75" customHeight="1" s="78"/>
    <row r="314" ht="15.75" customHeight="1" s="78"/>
    <row r="315" ht="15.75" customHeight="1" s="78"/>
    <row r="316" ht="15.75" customHeight="1" s="78"/>
    <row r="317" ht="15.75" customHeight="1" s="78"/>
    <row r="318" ht="15.75" customHeight="1" s="78"/>
    <row r="319" ht="15.75" customHeight="1" s="78"/>
    <row r="320" ht="15.75" customHeight="1" s="78"/>
    <row r="321" ht="15.75" customHeight="1" s="78"/>
    <row r="322" ht="15.75" customHeight="1" s="78"/>
    <row r="323" ht="15.75" customHeight="1" s="78"/>
    <row r="324" ht="15.75" customHeight="1" s="78"/>
    <row r="325" ht="15.75" customHeight="1" s="78"/>
    <row r="326" ht="15.75" customHeight="1" s="78"/>
    <row r="327" ht="15.75" customHeight="1" s="78"/>
    <row r="328" ht="15.75" customHeight="1" s="78"/>
    <row r="329" ht="15.75" customHeight="1" s="78"/>
    <row r="330" ht="15.75" customHeight="1" s="78"/>
    <row r="331" ht="15.75" customHeight="1" s="78"/>
    <row r="332" ht="15.75" customHeight="1" s="78"/>
    <row r="333" ht="15.75" customHeight="1" s="78"/>
    <row r="334" ht="15.75" customHeight="1" s="78"/>
    <row r="335" ht="15.75" customHeight="1" s="78"/>
    <row r="336" ht="15.75" customHeight="1" s="78"/>
    <row r="337" ht="15.75" customHeight="1" s="78"/>
    <row r="338" ht="15.75" customHeight="1" s="78"/>
    <row r="339" ht="15.75" customHeight="1" s="78"/>
    <row r="340" ht="15.75" customHeight="1" s="78"/>
    <row r="341" ht="15.75" customHeight="1" s="78"/>
    <row r="342" ht="15.75" customHeight="1" s="78"/>
    <row r="343" ht="15.75" customHeight="1" s="78"/>
    <row r="344" ht="15.75" customHeight="1" s="78"/>
    <row r="345" ht="15.75" customHeight="1" s="78"/>
    <row r="346" ht="15.75" customHeight="1" s="78"/>
    <row r="347" ht="15.75" customHeight="1" s="78"/>
    <row r="348" ht="15.75" customHeight="1" s="78"/>
    <row r="349" ht="15.75" customHeight="1" s="78"/>
    <row r="350" ht="15.75" customHeight="1" s="78"/>
    <row r="351" ht="15.75" customHeight="1" s="78"/>
    <row r="352" ht="15.75" customHeight="1" s="78"/>
    <row r="353" ht="15.75" customHeight="1" s="78"/>
    <row r="354" ht="15.75" customHeight="1" s="78"/>
    <row r="355" ht="15.75" customHeight="1" s="78"/>
    <row r="356" ht="15.75" customHeight="1" s="78"/>
    <row r="357" ht="15.75" customHeight="1" s="78"/>
    <row r="358" ht="15.75" customHeight="1" s="78"/>
    <row r="359" ht="15.75" customHeight="1" s="78"/>
    <row r="360" ht="15.75" customHeight="1" s="78"/>
    <row r="361" ht="15.75" customHeight="1" s="78"/>
    <row r="362" ht="15.75" customHeight="1" s="78"/>
    <row r="363" ht="15.75" customHeight="1" s="78"/>
    <row r="364" ht="15.75" customHeight="1" s="78"/>
    <row r="365" ht="15.75" customHeight="1" s="78"/>
    <row r="366" ht="15.75" customHeight="1" s="78"/>
    <row r="367" ht="15.75" customHeight="1" s="78"/>
    <row r="368" ht="15.75" customHeight="1" s="78"/>
    <row r="369" ht="15.75" customHeight="1" s="78"/>
    <row r="370" ht="15.75" customHeight="1" s="78"/>
    <row r="371" ht="15.75" customHeight="1" s="78"/>
    <row r="372" ht="15.75" customHeight="1" s="78"/>
    <row r="373" ht="15.75" customHeight="1" s="78"/>
    <row r="374" ht="15.75" customHeight="1" s="78"/>
    <row r="375" ht="15.75" customHeight="1" s="78"/>
    <row r="376" ht="15.75" customHeight="1" s="78"/>
    <row r="377" ht="15.75" customHeight="1" s="78"/>
    <row r="378" ht="15.75" customHeight="1" s="78"/>
    <row r="379" ht="15.75" customHeight="1" s="78"/>
    <row r="380" ht="15.75" customHeight="1" s="78"/>
    <row r="381" ht="15.75" customHeight="1" s="78"/>
    <row r="382" ht="15.75" customHeight="1" s="78"/>
    <row r="383" ht="15.75" customHeight="1" s="78"/>
    <row r="384" ht="15.75" customHeight="1" s="78"/>
    <row r="385" ht="15.75" customHeight="1" s="78"/>
    <row r="386" ht="15.75" customHeight="1" s="78"/>
    <row r="387" ht="15.75" customHeight="1" s="78"/>
    <row r="388" ht="15.75" customHeight="1" s="78"/>
    <row r="389" ht="15.75" customHeight="1" s="78"/>
    <row r="390" ht="15.75" customHeight="1" s="78"/>
    <row r="391" ht="15.75" customHeight="1" s="78"/>
    <row r="392" ht="15.75" customHeight="1" s="78"/>
    <row r="393" ht="15.75" customHeight="1" s="78"/>
    <row r="394" ht="15.75" customHeight="1" s="78"/>
    <row r="395" ht="15.75" customHeight="1" s="78"/>
    <row r="396" ht="15.75" customHeight="1" s="78"/>
    <row r="397" ht="15.75" customHeight="1" s="78"/>
    <row r="398" ht="15.75" customHeight="1" s="78"/>
    <row r="399" ht="15.75" customHeight="1" s="78"/>
    <row r="400" ht="15.75" customHeight="1" s="78"/>
    <row r="401" ht="15.75" customHeight="1" s="78"/>
    <row r="402" ht="15.75" customHeight="1" s="78"/>
    <row r="403" ht="15.75" customHeight="1" s="78"/>
    <row r="404" ht="15.75" customHeight="1" s="78"/>
    <row r="405" ht="15.75" customHeight="1" s="78"/>
    <row r="406" ht="15.75" customHeight="1" s="78"/>
    <row r="407" ht="15.75" customHeight="1" s="78"/>
    <row r="408" ht="15.75" customHeight="1" s="78"/>
    <row r="409" ht="15.75" customHeight="1" s="78"/>
    <row r="410" ht="15.75" customHeight="1" s="78"/>
    <row r="411" ht="15.75" customHeight="1" s="78"/>
    <row r="412" ht="15.75" customHeight="1" s="78"/>
    <row r="413" ht="15.75" customHeight="1" s="78"/>
    <row r="414" ht="15.75" customHeight="1" s="78"/>
    <row r="415" ht="15.75" customHeight="1" s="78"/>
    <row r="416" ht="15.75" customHeight="1" s="78"/>
    <row r="417" ht="15.75" customHeight="1" s="78"/>
    <row r="418" ht="15.75" customHeight="1" s="78"/>
    <row r="419" ht="15.75" customHeight="1" s="78"/>
    <row r="420" ht="15.75" customHeight="1" s="78"/>
    <row r="421" ht="15.75" customHeight="1" s="78"/>
    <row r="422" ht="15.75" customHeight="1" s="78"/>
    <row r="423" ht="15.75" customHeight="1" s="78"/>
    <row r="424" ht="15.75" customHeight="1" s="78"/>
    <row r="425" ht="15.75" customHeight="1" s="78"/>
    <row r="426" ht="15.75" customHeight="1" s="78"/>
    <row r="427" ht="15.75" customHeight="1" s="78"/>
    <row r="428" ht="15.75" customHeight="1" s="78"/>
    <row r="429" ht="15.75" customHeight="1" s="78"/>
    <row r="430" ht="15.75" customHeight="1" s="78"/>
    <row r="431" ht="15.75" customHeight="1" s="78"/>
    <row r="432" ht="15.75" customHeight="1" s="78"/>
    <row r="433" ht="15.75" customHeight="1" s="78"/>
    <row r="434" ht="15.75" customHeight="1" s="78"/>
    <row r="435" ht="15.75" customHeight="1" s="78"/>
    <row r="436" ht="15.75" customHeight="1" s="78"/>
    <row r="437" ht="15.75" customHeight="1" s="78"/>
    <row r="438" ht="15.75" customHeight="1" s="78"/>
    <row r="439" ht="15.75" customHeight="1" s="78"/>
    <row r="440" ht="15.75" customHeight="1" s="78"/>
    <row r="441" ht="15.75" customHeight="1" s="78"/>
    <row r="442" ht="15.75" customHeight="1" s="78"/>
    <row r="443" ht="15.75" customHeight="1" s="78"/>
    <row r="444" ht="15.75" customHeight="1" s="78"/>
    <row r="445" ht="15.75" customHeight="1" s="78"/>
    <row r="446" ht="15.75" customHeight="1" s="78"/>
    <row r="447" ht="15.75" customHeight="1" s="78"/>
    <row r="448" ht="15.75" customHeight="1" s="78"/>
    <row r="449" ht="15.75" customHeight="1" s="78"/>
    <row r="450" ht="15.75" customHeight="1" s="78"/>
    <row r="451" ht="15.75" customHeight="1" s="78"/>
    <row r="452" ht="15.75" customHeight="1" s="78"/>
    <row r="453" ht="15.75" customHeight="1" s="78"/>
    <row r="454" ht="15.75" customHeight="1" s="78"/>
    <row r="455" ht="15.75" customHeight="1" s="78"/>
    <row r="456" ht="15.75" customHeight="1" s="78"/>
    <row r="457" ht="15.75" customHeight="1" s="78"/>
    <row r="458" ht="15.75" customHeight="1" s="78"/>
    <row r="459" ht="15.75" customHeight="1" s="78"/>
    <row r="460" ht="15.75" customHeight="1" s="78"/>
    <row r="461" ht="15.75" customHeight="1" s="78"/>
    <row r="462" ht="15.75" customHeight="1" s="78"/>
    <row r="463" ht="15.75" customHeight="1" s="78"/>
    <row r="464" ht="15.75" customHeight="1" s="78"/>
    <row r="465" ht="15.75" customHeight="1" s="78"/>
    <row r="466" ht="15.75" customHeight="1" s="78"/>
    <row r="467" ht="15.75" customHeight="1" s="78"/>
    <row r="468" ht="15.75" customHeight="1" s="78"/>
    <row r="469" ht="15.75" customHeight="1" s="78"/>
    <row r="470" ht="15.75" customHeight="1" s="78"/>
    <row r="471" ht="15.75" customHeight="1" s="78"/>
    <row r="472" ht="15.75" customHeight="1" s="78"/>
    <row r="473" ht="15.75" customHeight="1" s="78"/>
    <row r="474" ht="15.75" customHeight="1" s="78"/>
    <row r="475" ht="15.75" customHeight="1" s="78"/>
    <row r="476" ht="15.75" customHeight="1" s="78"/>
    <row r="477" ht="15.75" customHeight="1" s="78"/>
    <row r="478" ht="15.75" customHeight="1" s="78"/>
    <row r="479" ht="15.75" customHeight="1" s="78"/>
    <row r="480" ht="15.75" customHeight="1" s="78"/>
    <row r="481" ht="15.75" customHeight="1" s="78"/>
    <row r="482" ht="15.75" customHeight="1" s="78"/>
    <row r="483" ht="15.75" customHeight="1" s="78"/>
    <row r="484" ht="15.75" customHeight="1" s="78"/>
    <row r="485" ht="15.75" customHeight="1" s="78"/>
    <row r="486" ht="15.75" customHeight="1" s="78"/>
    <row r="487" ht="15.75" customHeight="1" s="78"/>
    <row r="488" ht="15.75" customHeight="1" s="78"/>
    <row r="489" ht="15.75" customHeight="1" s="78"/>
    <row r="490" ht="15.75" customHeight="1" s="78"/>
    <row r="491" ht="15.75" customHeight="1" s="78"/>
    <row r="492" ht="15.75" customHeight="1" s="78"/>
    <row r="493" ht="15.75" customHeight="1" s="78"/>
    <row r="494" ht="15.75" customHeight="1" s="78"/>
    <row r="495" ht="15.75" customHeight="1" s="78"/>
    <row r="496" ht="15.75" customHeight="1" s="78"/>
    <row r="497" ht="15.75" customHeight="1" s="78"/>
    <row r="498" ht="15.75" customHeight="1" s="78"/>
    <row r="499" ht="15.75" customHeight="1" s="78"/>
    <row r="500" ht="15.75" customHeight="1" s="78"/>
    <row r="501" ht="15.75" customHeight="1" s="78"/>
    <row r="502" ht="15.75" customHeight="1" s="78"/>
    <row r="503" ht="15.75" customHeight="1" s="78"/>
    <row r="504" ht="15.75" customHeight="1" s="78"/>
    <row r="505" ht="15.75" customHeight="1" s="78"/>
    <row r="506" ht="15.75" customHeight="1" s="78"/>
    <row r="507" ht="15.75" customHeight="1" s="78"/>
    <row r="508" ht="15.75" customHeight="1" s="78"/>
    <row r="509" ht="15.75" customHeight="1" s="78"/>
    <row r="510" ht="15.75" customHeight="1" s="78"/>
    <row r="511" ht="15.75" customHeight="1" s="78"/>
    <row r="512" ht="15.75" customHeight="1" s="78"/>
    <row r="513" ht="15.75" customHeight="1" s="78"/>
    <row r="514" ht="15.75" customHeight="1" s="78"/>
    <row r="515" ht="15.75" customHeight="1" s="78"/>
    <row r="516" ht="15.75" customHeight="1" s="78"/>
    <row r="517" ht="15.75" customHeight="1" s="78"/>
    <row r="518" ht="15.75" customHeight="1" s="78"/>
    <row r="519" ht="15.75" customHeight="1" s="78"/>
    <row r="520" ht="15.75" customHeight="1" s="78"/>
    <row r="521" ht="15.75" customHeight="1" s="78"/>
    <row r="522" ht="15.75" customHeight="1" s="78"/>
    <row r="523" ht="15.75" customHeight="1" s="78"/>
    <row r="524" ht="15.75" customHeight="1" s="78"/>
    <row r="525" ht="15.75" customHeight="1" s="78"/>
    <row r="526" ht="15.75" customHeight="1" s="78"/>
    <row r="527" ht="15.75" customHeight="1" s="78"/>
    <row r="528" ht="15.75" customHeight="1" s="78"/>
    <row r="529" ht="15.75" customHeight="1" s="78"/>
    <row r="530" ht="15.75" customHeight="1" s="78"/>
    <row r="531" ht="15.75" customHeight="1" s="78"/>
    <row r="532" ht="15.75" customHeight="1" s="78"/>
    <row r="533" ht="15.75" customHeight="1" s="78"/>
    <row r="534" ht="15.75" customHeight="1" s="78"/>
    <row r="535" ht="15.75" customHeight="1" s="78"/>
    <row r="536" ht="15.75" customHeight="1" s="78"/>
    <row r="537" ht="15.75" customHeight="1" s="78"/>
    <row r="538" ht="15.75" customHeight="1" s="78"/>
    <row r="539" ht="15.75" customHeight="1" s="78"/>
    <row r="540" ht="15.75" customHeight="1" s="78"/>
    <row r="541" ht="15.75" customHeight="1" s="78"/>
    <row r="542" ht="15.75" customHeight="1" s="78"/>
    <row r="543" ht="15.75" customHeight="1" s="78"/>
    <row r="544" ht="15.75" customHeight="1" s="78"/>
    <row r="545" ht="15.75" customHeight="1" s="78"/>
    <row r="546" ht="15.75" customHeight="1" s="78"/>
    <row r="547" ht="15.75" customHeight="1" s="78"/>
    <row r="548" ht="15.75" customHeight="1" s="78"/>
    <row r="549" ht="15.75" customHeight="1" s="78"/>
    <row r="550" ht="15.75" customHeight="1" s="78"/>
    <row r="551" ht="15.75" customHeight="1" s="78"/>
    <row r="552" ht="15.75" customHeight="1" s="78"/>
    <row r="553" ht="15.75" customHeight="1" s="78"/>
    <row r="554" ht="15.75" customHeight="1" s="78"/>
    <row r="555" ht="15.75" customHeight="1" s="78"/>
    <row r="556" ht="15.75" customHeight="1" s="78"/>
    <row r="557" ht="15.75" customHeight="1" s="78"/>
    <row r="558" ht="15.75" customHeight="1" s="78"/>
    <row r="559" ht="15.75" customHeight="1" s="78"/>
    <row r="560" ht="15.75" customHeight="1" s="78"/>
    <row r="561" ht="15.75" customHeight="1" s="78"/>
    <row r="562" ht="15.75" customHeight="1" s="78"/>
    <row r="563" ht="15.75" customHeight="1" s="78"/>
    <row r="564" ht="15.75" customHeight="1" s="78"/>
    <row r="565" ht="15.75" customHeight="1" s="78"/>
    <row r="566" ht="15.75" customHeight="1" s="78"/>
    <row r="567" ht="15.75" customHeight="1" s="78"/>
    <row r="568" ht="15.75" customHeight="1" s="78"/>
    <row r="569" ht="15.75" customHeight="1" s="78"/>
    <row r="570" ht="15.75" customHeight="1" s="78"/>
    <row r="571" ht="15.75" customHeight="1" s="78"/>
    <row r="572" ht="15.75" customHeight="1" s="78"/>
    <row r="573" ht="15.75" customHeight="1" s="78"/>
    <row r="574" ht="15.75" customHeight="1" s="78"/>
    <row r="575" ht="15.75" customHeight="1" s="78"/>
    <row r="576" ht="15.75" customHeight="1" s="78"/>
    <row r="577" ht="15.75" customHeight="1" s="78"/>
    <row r="578" ht="15.75" customHeight="1" s="78"/>
    <row r="579" ht="15.75" customHeight="1" s="78"/>
    <row r="580" ht="15.75" customHeight="1" s="78"/>
    <row r="581" ht="15.75" customHeight="1" s="78"/>
    <row r="582" ht="15.75" customHeight="1" s="78"/>
    <row r="583" ht="15.75" customHeight="1" s="78"/>
    <row r="584" ht="15.75" customHeight="1" s="78"/>
    <row r="585" ht="15.75" customHeight="1" s="78"/>
    <row r="586" ht="15.75" customHeight="1" s="78"/>
    <row r="587" ht="15.75" customHeight="1" s="78"/>
    <row r="588" ht="15.75" customHeight="1" s="78"/>
    <row r="589" ht="15.75" customHeight="1" s="78"/>
    <row r="590" ht="15.75" customHeight="1" s="78"/>
    <row r="591" ht="15.75" customHeight="1" s="78"/>
    <row r="592" ht="15.75" customHeight="1" s="78"/>
    <row r="593" ht="15.75" customHeight="1" s="78"/>
    <row r="594" ht="15.75" customHeight="1" s="78"/>
    <row r="595" ht="15.75" customHeight="1" s="78"/>
    <row r="596" ht="15.75" customHeight="1" s="78"/>
    <row r="597" ht="15.75" customHeight="1" s="78"/>
    <row r="598" ht="15.75" customHeight="1" s="78"/>
    <row r="599" ht="15.75" customHeight="1" s="78"/>
    <row r="600" ht="15.75" customHeight="1" s="78"/>
    <row r="601" ht="15.75" customHeight="1" s="78"/>
    <row r="602" ht="15.75" customHeight="1" s="78"/>
    <row r="603" ht="15.75" customHeight="1" s="78"/>
    <row r="604" ht="15.75" customHeight="1" s="78"/>
    <row r="605" ht="15.75" customHeight="1" s="78"/>
    <row r="606" ht="15.75" customHeight="1" s="78"/>
    <row r="607" ht="15.75" customHeight="1" s="78"/>
    <row r="608" ht="15.75" customHeight="1" s="78"/>
    <row r="609" ht="15.75" customHeight="1" s="78"/>
    <row r="610" ht="15.75" customHeight="1" s="78"/>
    <row r="611" ht="15.75" customHeight="1" s="78"/>
    <row r="612" ht="15.75" customHeight="1" s="78"/>
    <row r="613" ht="15.75" customHeight="1" s="78"/>
    <row r="614" ht="15.75" customHeight="1" s="78"/>
    <row r="615" ht="15.75" customHeight="1" s="78"/>
    <row r="616" ht="15.75" customHeight="1" s="78"/>
    <row r="617" ht="15.75" customHeight="1" s="78"/>
    <row r="618" ht="15.75" customHeight="1" s="78"/>
    <row r="619" ht="15.75" customHeight="1" s="78"/>
    <row r="620" ht="15.75" customHeight="1" s="78"/>
    <row r="621" ht="15.75" customHeight="1" s="78"/>
    <row r="622" ht="15.75" customHeight="1" s="78"/>
    <row r="623" ht="15.75" customHeight="1" s="78"/>
    <row r="624" ht="15.75" customHeight="1" s="78"/>
    <row r="625" ht="15.75" customHeight="1" s="78"/>
    <row r="626" ht="15.75" customHeight="1" s="78"/>
    <row r="627" ht="15.75" customHeight="1" s="78"/>
    <row r="628" ht="15.75" customHeight="1" s="78"/>
    <row r="629" ht="15.75" customHeight="1" s="78"/>
    <row r="630" ht="15.75" customHeight="1" s="78"/>
    <row r="631" ht="15.75" customHeight="1" s="78"/>
    <row r="632" ht="15.75" customHeight="1" s="78"/>
    <row r="633" ht="15.75" customHeight="1" s="78"/>
    <row r="634" ht="15.75" customHeight="1" s="78"/>
    <row r="635" ht="15.75" customHeight="1" s="78"/>
    <row r="636" ht="15.75" customHeight="1" s="78"/>
    <row r="637" ht="15.75" customHeight="1" s="78"/>
    <row r="638" ht="15.75" customHeight="1" s="78"/>
    <row r="639" ht="15.75" customHeight="1" s="78"/>
    <row r="640" ht="15.75" customHeight="1" s="78"/>
    <row r="641" ht="15.75" customHeight="1" s="78"/>
    <row r="642" ht="15.75" customHeight="1" s="78"/>
    <row r="643" ht="15.75" customHeight="1" s="78"/>
    <row r="644" ht="15.75" customHeight="1" s="78"/>
    <row r="645" ht="15.75" customHeight="1" s="78"/>
    <row r="646" ht="15.75" customHeight="1" s="78"/>
    <row r="647" ht="15.75" customHeight="1" s="78"/>
    <row r="648" ht="15.75" customHeight="1" s="78"/>
    <row r="649" ht="15.75" customHeight="1" s="78"/>
    <row r="650" ht="15.75" customHeight="1" s="78"/>
    <row r="651" ht="15.75" customHeight="1" s="78"/>
    <row r="652" ht="15.75" customHeight="1" s="78"/>
    <row r="653" ht="15.75" customHeight="1" s="78"/>
    <row r="654" ht="15.75" customHeight="1" s="78"/>
    <row r="655" ht="15.75" customHeight="1" s="78"/>
    <row r="656" ht="15.75" customHeight="1" s="78"/>
    <row r="657" ht="15.75" customHeight="1" s="78"/>
    <row r="658" ht="15.75" customHeight="1" s="78"/>
    <row r="659" ht="15.75" customHeight="1" s="78"/>
    <row r="660" ht="15.75" customHeight="1" s="78"/>
    <row r="661" ht="15.75" customHeight="1" s="78"/>
    <row r="662" ht="15.75" customHeight="1" s="78"/>
    <row r="663" ht="15.75" customHeight="1" s="78"/>
    <row r="664" ht="15.75" customHeight="1" s="78"/>
    <row r="665" ht="15.75" customHeight="1" s="78"/>
    <row r="666" ht="15.75" customHeight="1" s="78"/>
    <row r="667" ht="15.75" customHeight="1" s="78"/>
    <row r="668" ht="15.75" customHeight="1" s="78"/>
    <row r="669" ht="15.75" customHeight="1" s="78"/>
    <row r="670" ht="15.75" customHeight="1" s="78"/>
    <row r="671" ht="15.75" customHeight="1" s="78"/>
    <row r="672" ht="15.75" customHeight="1" s="78"/>
    <row r="673" ht="15.75" customHeight="1" s="78"/>
    <row r="674" ht="15.75" customHeight="1" s="78"/>
    <row r="675" ht="15.75" customHeight="1" s="78"/>
    <row r="676" ht="15.75" customHeight="1" s="78"/>
    <row r="677" ht="15.75" customHeight="1" s="78"/>
    <row r="678" ht="15.75" customHeight="1" s="78"/>
    <row r="679" ht="15.75" customHeight="1" s="78"/>
    <row r="680" ht="15.75" customHeight="1" s="78"/>
    <row r="681" ht="15.75" customHeight="1" s="78"/>
    <row r="682" ht="15.75" customHeight="1" s="78"/>
    <row r="683" ht="15.75" customHeight="1" s="78"/>
    <row r="684" ht="15.75" customHeight="1" s="78"/>
    <row r="685" ht="15.75" customHeight="1" s="78"/>
    <row r="686" ht="15.75" customHeight="1" s="78"/>
    <row r="687" ht="15.75" customHeight="1" s="78"/>
    <row r="688" ht="15.75" customHeight="1" s="78"/>
    <row r="689" ht="15.75" customHeight="1" s="78"/>
    <row r="690" ht="15.75" customHeight="1" s="78"/>
    <row r="691" ht="15.75" customHeight="1" s="78"/>
    <row r="692" ht="15.75" customHeight="1" s="78"/>
    <row r="693" ht="15.75" customHeight="1" s="78"/>
    <row r="694" ht="15.75" customHeight="1" s="78"/>
    <row r="695" ht="15.75" customHeight="1" s="78"/>
    <row r="696" ht="15.75" customHeight="1" s="78"/>
    <row r="697" ht="15.75" customHeight="1" s="78"/>
    <row r="698" ht="15.75" customHeight="1" s="78"/>
    <row r="699" ht="15.75" customHeight="1" s="78"/>
    <row r="700" ht="15.75" customHeight="1" s="78"/>
    <row r="701" ht="15.75" customHeight="1" s="78"/>
    <row r="702" ht="15.75" customHeight="1" s="78"/>
    <row r="703" ht="15.75" customHeight="1" s="78"/>
    <row r="704" ht="15.75" customHeight="1" s="78"/>
    <row r="705" ht="15.75" customHeight="1" s="78"/>
    <row r="706" ht="15.75" customHeight="1" s="78"/>
    <row r="707" ht="15.75" customHeight="1" s="78"/>
    <row r="708" ht="15.75" customHeight="1" s="78"/>
    <row r="709" ht="15.75" customHeight="1" s="78"/>
    <row r="710" ht="15.75" customHeight="1" s="78"/>
    <row r="711" ht="15.75" customHeight="1" s="78"/>
    <row r="712" ht="15.75" customHeight="1" s="78"/>
    <row r="713" ht="15.75" customHeight="1" s="78"/>
    <row r="714" ht="15.75" customHeight="1" s="78"/>
    <row r="715" ht="15.75" customHeight="1" s="78"/>
    <row r="716" ht="15.75" customHeight="1" s="78"/>
    <row r="717" ht="15.75" customHeight="1" s="78"/>
    <row r="718" ht="15.75" customHeight="1" s="78"/>
    <row r="719" ht="15.75" customHeight="1" s="78"/>
    <row r="720" ht="15.75" customHeight="1" s="78"/>
    <row r="721" ht="15.75" customHeight="1" s="78"/>
    <row r="722" ht="15.75" customHeight="1" s="78"/>
    <row r="723" ht="15.75" customHeight="1" s="78"/>
    <row r="724" ht="15.75" customHeight="1" s="78"/>
    <row r="725" ht="15.75" customHeight="1" s="78"/>
    <row r="726" ht="15.75" customHeight="1" s="78"/>
    <row r="727" ht="15.75" customHeight="1" s="78"/>
    <row r="728" ht="15.75" customHeight="1" s="78"/>
    <row r="729" ht="15.75" customHeight="1" s="78"/>
    <row r="730" ht="15.75" customHeight="1" s="78"/>
    <row r="731" ht="15.75" customHeight="1" s="78"/>
    <row r="732" ht="15.75" customHeight="1" s="78"/>
    <row r="733" ht="15.75" customHeight="1" s="78"/>
    <row r="734" ht="15.75" customHeight="1" s="78"/>
    <row r="735" ht="15.75" customHeight="1" s="78"/>
    <row r="736" ht="15.75" customHeight="1" s="78"/>
    <row r="737" ht="15.75" customHeight="1" s="78"/>
    <row r="738" ht="15.75" customHeight="1" s="78"/>
    <row r="739" ht="15.75" customHeight="1" s="78"/>
    <row r="740" ht="15.75" customHeight="1" s="78"/>
    <row r="741" ht="15.75" customHeight="1" s="78"/>
    <row r="742" ht="15.75" customHeight="1" s="78"/>
    <row r="743" ht="15.75" customHeight="1" s="78"/>
    <row r="744" ht="15.75" customHeight="1" s="78"/>
    <row r="745" ht="15.75" customHeight="1" s="78"/>
    <row r="746" ht="15.75" customHeight="1" s="78"/>
    <row r="747" ht="15.75" customHeight="1" s="78"/>
    <row r="748" ht="15.75" customHeight="1" s="78"/>
    <row r="749" ht="15.75" customHeight="1" s="78"/>
    <row r="750" ht="15.75" customHeight="1" s="78"/>
    <row r="751" ht="15.75" customHeight="1" s="78"/>
    <row r="752" ht="15.75" customHeight="1" s="78"/>
    <row r="753" ht="15.75" customHeight="1" s="78"/>
    <row r="754" ht="15.75" customHeight="1" s="78"/>
    <row r="755" ht="15.75" customHeight="1" s="78"/>
    <row r="756" ht="15.75" customHeight="1" s="78"/>
    <row r="757" ht="15.75" customHeight="1" s="78"/>
    <row r="758" ht="15.75" customHeight="1" s="78"/>
    <row r="759" ht="15.75" customHeight="1" s="78"/>
    <row r="760" ht="15.75" customHeight="1" s="78"/>
    <row r="761" ht="15.75" customHeight="1" s="78"/>
    <row r="762" ht="15.75" customHeight="1" s="78"/>
    <row r="763" ht="15.75" customHeight="1" s="78"/>
    <row r="764" ht="15.75" customHeight="1" s="78"/>
    <row r="765" ht="15.75" customHeight="1" s="78"/>
    <row r="766" ht="15.75" customHeight="1" s="78"/>
    <row r="767" ht="15.75" customHeight="1" s="78"/>
    <row r="768" ht="15.75" customHeight="1" s="78"/>
    <row r="769" ht="15.75" customHeight="1" s="78"/>
    <row r="770" ht="15.75" customHeight="1" s="78"/>
    <row r="771" ht="15.75" customHeight="1" s="78"/>
    <row r="772" ht="15.75" customHeight="1" s="78"/>
    <row r="773" ht="15.75" customHeight="1" s="78"/>
    <row r="774" ht="15.75" customHeight="1" s="78"/>
    <row r="775" ht="15.75" customHeight="1" s="78"/>
    <row r="776" ht="15.75" customHeight="1" s="78"/>
    <row r="777" ht="15.75" customHeight="1" s="78"/>
    <row r="778" ht="15.75" customHeight="1" s="78"/>
    <row r="779" ht="15.75" customHeight="1" s="78"/>
    <row r="780" ht="15.75" customHeight="1" s="78"/>
    <row r="781" ht="15.75" customHeight="1" s="78"/>
    <row r="782" ht="15.75" customHeight="1" s="78"/>
    <row r="783" ht="15.75" customHeight="1" s="78"/>
    <row r="784" ht="15.75" customHeight="1" s="78"/>
    <row r="785" ht="15.75" customHeight="1" s="78"/>
    <row r="786" ht="15.75" customHeight="1" s="78"/>
    <row r="787" ht="15.75" customHeight="1" s="78"/>
    <row r="788" ht="15.75" customHeight="1" s="78"/>
    <row r="789" ht="15.75" customHeight="1" s="78"/>
    <row r="790" ht="15.75" customHeight="1" s="78"/>
    <row r="791" ht="15.75" customHeight="1" s="78"/>
    <row r="792" ht="15.75" customHeight="1" s="78"/>
    <row r="793" ht="15.75" customHeight="1" s="78"/>
    <row r="794" ht="15.75" customHeight="1" s="78"/>
    <row r="795" ht="15.75" customHeight="1" s="78"/>
    <row r="796" ht="15.75" customHeight="1" s="78"/>
    <row r="797" ht="15.75" customHeight="1" s="78"/>
    <row r="798" ht="15.75" customHeight="1" s="78"/>
    <row r="799" ht="15.75" customHeight="1" s="78"/>
    <row r="800" ht="15.75" customHeight="1" s="78"/>
    <row r="801" ht="15.75" customHeight="1" s="78"/>
    <row r="802" ht="15.75" customHeight="1" s="78"/>
    <row r="803" ht="15.75" customHeight="1" s="78"/>
    <row r="804" ht="15.75" customHeight="1" s="78"/>
    <row r="805" ht="15.75" customHeight="1" s="78"/>
    <row r="806" ht="15.75" customHeight="1" s="78"/>
    <row r="807" ht="15.75" customHeight="1" s="78"/>
    <row r="808" ht="15.75" customHeight="1" s="78"/>
    <row r="809" ht="15.75" customHeight="1" s="78"/>
    <row r="810" ht="15.75" customHeight="1" s="78"/>
    <row r="811" ht="15.75" customHeight="1" s="78"/>
    <row r="812" ht="15.75" customHeight="1" s="78"/>
    <row r="813" ht="15.75" customHeight="1" s="78"/>
    <row r="814" ht="15.75" customHeight="1" s="78"/>
    <row r="815" ht="15.75" customHeight="1" s="78"/>
    <row r="816" ht="15.75" customHeight="1" s="78"/>
    <row r="817" ht="15.75" customHeight="1" s="78"/>
    <row r="818" ht="15.75" customHeight="1" s="78"/>
    <row r="819" ht="15.75" customHeight="1" s="78"/>
    <row r="820" ht="15.75" customHeight="1" s="78"/>
    <row r="821" ht="15.75" customHeight="1" s="78"/>
    <row r="822" ht="15.75" customHeight="1" s="78"/>
    <row r="823" ht="15.75" customHeight="1" s="78"/>
    <row r="824" ht="15.75" customHeight="1" s="78"/>
    <row r="825" ht="15.75" customHeight="1" s="78"/>
    <row r="826" ht="15.75" customHeight="1" s="78"/>
    <row r="827" ht="15.75" customHeight="1" s="78"/>
    <row r="828" ht="15.75" customHeight="1" s="78"/>
    <row r="829" ht="15.75" customHeight="1" s="78"/>
    <row r="830" ht="15.75" customHeight="1" s="78"/>
    <row r="831" ht="15.75" customHeight="1" s="78"/>
    <row r="832" ht="15.75" customHeight="1" s="78"/>
    <row r="833" ht="15.75" customHeight="1" s="78"/>
    <row r="834" ht="15.75" customHeight="1" s="78"/>
    <row r="835" ht="15.75" customHeight="1" s="78"/>
    <row r="836" ht="15.75" customHeight="1" s="78"/>
    <row r="837" ht="15.75" customHeight="1" s="78"/>
    <row r="838" ht="15.75" customHeight="1" s="78"/>
    <row r="839" ht="15.75" customHeight="1" s="78"/>
    <row r="840" ht="15.75" customHeight="1" s="78"/>
    <row r="841" ht="15.75" customHeight="1" s="78"/>
    <row r="842" ht="15.75" customHeight="1" s="78"/>
    <row r="843" ht="15.75" customHeight="1" s="78"/>
    <row r="844" ht="15.75" customHeight="1" s="78"/>
    <row r="845" ht="15.75" customHeight="1" s="78"/>
    <row r="846" ht="15.75" customHeight="1" s="78"/>
    <row r="847" ht="15.75" customHeight="1" s="78"/>
    <row r="848" ht="15.75" customHeight="1" s="78"/>
    <row r="849" ht="15.75" customHeight="1" s="78"/>
    <row r="850" ht="15.75" customHeight="1" s="78"/>
    <row r="851" ht="15.75" customHeight="1" s="78"/>
    <row r="852" ht="15.75" customHeight="1" s="78"/>
    <row r="853" ht="15.75" customHeight="1" s="78"/>
    <row r="854" ht="15.75" customHeight="1" s="78"/>
    <row r="855" ht="15.75" customHeight="1" s="78"/>
    <row r="856" ht="15.75" customHeight="1" s="78"/>
    <row r="857" ht="15.75" customHeight="1" s="78"/>
    <row r="858" ht="15.75" customHeight="1" s="78"/>
    <row r="859" ht="15.75" customHeight="1" s="78"/>
    <row r="860" ht="15.75" customHeight="1" s="78"/>
    <row r="861" ht="15.75" customHeight="1" s="78"/>
    <row r="862" ht="15.75" customHeight="1" s="78"/>
    <row r="863" ht="15.75" customHeight="1" s="78"/>
    <row r="864" ht="15.75" customHeight="1" s="78"/>
    <row r="865" ht="15.75" customHeight="1" s="78"/>
    <row r="866" ht="15.75" customHeight="1" s="78"/>
    <row r="867" ht="15.75" customHeight="1" s="78"/>
    <row r="868" ht="15.75" customHeight="1" s="78"/>
    <row r="869" ht="15.75" customHeight="1" s="78"/>
    <row r="870" ht="15.75" customHeight="1" s="78"/>
    <row r="871" ht="15.75" customHeight="1" s="78"/>
    <row r="872" ht="15.75" customHeight="1" s="78"/>
    <row r="873" ht="15.75" customHeight="1" s="78"/>
    <row r="874" ht="15.75" customHeight="1" s="78"/>
    <row r="875" ht="15.75" customHeight="1" s="78"/>
    <row r="876" ht="15.75" customHeight="1" s="78"/>
    <row r="877" ht="15.75" customHeight="1" s="78"/>
    <row r="878" ht="15.75" customHeight="1" s="78"/>
    <row r="879" ht="15.75" customHeight="1" s="78"/>
    <row r="880" ht="15.75" customHeight="1" s="78"/>
    <row r="881" ht="15.75" customHeight="1" s="78"/>
    <row r="882" ht="15.75" customHeight="1" s="78"/>
    <row r="883" ht="15.75" customHeight="1" s="78"/>
    <row r="884" ht="15.75" customHeight="1" s="78"/>
    <row r="885" ht="15.75" customHeight="1" s="78"/>
    <row r="886" ht="15.75" customHeight="1" s="78"/>
    <row r="887" ht="15.75" customHeight="1" s="78"/>
    <row r="888" ht="15.75" customHeight="1" s="78"/>
    <row r="889" ht="15.75" customHeight="1" s="78"/>
    <row r="890" ht="15.75" customHeight="1" s="78"/>
    <row r="891" ht="15.75" customHeight="1" s="78"/>
    <row r="892" ht="15.75" customHeight="1" s="78"/>
    <row r="893" ht="15.75" customHeight="1" s="78"/>
    <row r="894" ht="15.75" customHeight="1" s="78"/>
    <row r="895" ht="15.75" customHeight="1" s="78"/>
    <row r="896" ht="15.75" customHeight="1" s="78"/>
    <row r="897" ht="15.75" customHeight="1" s="78"/>
    <row r="898" ht="15.75" customHeight="1" s="78"/>
    <row r="899" ht="15.75" customHeight="1" s="78"/>
    <row r="900" ht="15.75" customHeight="1" s="78"/>
    <row r="901" ht="15.75" customHeight="1" s="78"/>
    <row r="902" ht="15.75" customHeight="1" s="78"/>
    <row r="903" ht="15.75" customHeight="1" s="78"/>
    <row r="904" ht="15.75" customHeight="1" s="78"/>
    <row r="905" ht="15.75" customHeight="1" s="78"/>
    <row r="906" ht="15.75" customHeight="1" s="78"/>
    <row r="907" ht="15.75" customHeight="1" s="78"/>
    <row r="908" ht="15.75" customHeight="1" s="78"/>
    <row r="909" ht="15.75" customHeight="1" s="78"/>
    <row r="910" ht="15.75" customHeight="1" s="78"/>
    <row r="911" ht="15.75" customHeight="1" s="78"/>
    <row r="912" ht="15.75" customHeight="1" s="78"/>
    <row r="913" ht="15.75" customHeight="1" s="78"/>
    <row r="914" ht="15.75" customHeight="1" s="78"/>
    <row r="915" ht="15.75" customHeight="1" s="78"/>
    <row r="916" ht="15.75" customHeight="1" s="78"/>
    <row r="917" ht="15.75" customHeight="1" s="78"/>
    <row r="918" ht="15.75" customHeight="1" s="78"/>
    <row r="919" ht="15.75" customHeight="1" s="78"/>
    <row r="920" ht="15.75" customHeight="1" s="78"/>
    <row r="921" ht="15.75" customHeight="1" s="78"/>
    <row r="922" ht="15.75" customHeight="1" s="78"/>
    <row r="923" ht="15.75" customHeight="1" s="78"/>
    <row r="924" ht="15.75" customHeight="1" s="78"/>
    <row r="925" ht="15.75" customHeight="1" s="78"/>
    <row r="926" ht="15.75" customHeight="1" s="78"/>
    <row r="927" ht="15.75" customHeight="1" s="78"/>
    <row r="928" ht="15.75" customHeight="1" s="78"/>
    <row r="929" ht="15.75" customHeight="1" s="78"/>
    <row r="930" ht="15.75" customHeight="1" s="78"/>
    <row r="931" ht="15.75" customHeight="1" s="78"/>
    <row r="932" ht="15.75" customHeight="1" s="78"/>
    <row r="933" ht="15.75" customHeight="1" s="78"/>
    <row r="934" ht="15.75" customHeight="1" s="78"/>
    <row r="935" ht="15.75" customHeight="1" s="78"/>
    <row r="936" ht="15.75" customHeight="1" s="78"/>
    <row r="937" ht="15.75" customHeight="1" s="78"/>
    <row r="938" ht="15.75" customHeight="1" s="78"/>
    <row r="939" ht="15.75" customHeight="1" s="78"/>
    <row r="940" ht="15.75" customHeight="1" s="78"/>
    <row r="941" ht="15.75" customHeight="1" s="78"/>
    <row r="942" ht="15.75" customHeight="1" s="78"/>
    <row r="943" ht="15.75" customHeight="1" s="78"/>
    <row r="944" ht="15.75" customHeight="1" s="78"/>
    <row r="945" ht="15.75" customHeight="1" s="78"/>
    <row r="946" ht="15.75" customHeight="1" s="78"/>
    <row r="947" ht="15.75" customHeight="1" s="78"/>
    <row r="948" ht="15.75" customHeight="1" s="78"/>
    <row r="949" ht="15.75" customHeight="1" s="78"/>
    <row r="950" ht="15.75" customHeight="1" s="78"/>
    <row r="951" ht="15.75" customHeight="1" s="78"/>
    <row r="952" ht="15.75" customHeight="1" s="78"/>
    <row r="953" ht="15.75" customHeight="1" s="78"/>
    <row r="954" ht="15.75" customHeight="1" s="78"/>
    <row r="955" ht="15.75" customHeight="1" s="78"/>
    <row r="956" ht="15.75" customHeight="1" s="78"/>
    <row r="957" ht="15.75" customHeight="1" s="78"/>
    <row r="958" ht="15.75" customHeight="1" s="78"/>
    <row r="959" ht="15.75" customHeight="1" s="78"/>
    <row r="960" ht="15.75" customHeight="1" s="78"/>
    <row r="961" ht="15.75" customHeight="1" s="78"/>
    <row r="962" ht="15.75" customHeight="1" s="78"/>
    <row r="963" ht="15.75" customHeight="1" s="78"/>
    <row r="964" ht="15.75" customHeight="1" s="78"/>
    <row r="965" ht="15.75" customHeight="1" s="78"/>
    <row r="966" ht="15.75" customHeight="1" s="78"/>
    <row r="967" ht="15.75" customHeight="1" s="78"/>
    <row r="968" ht="15.75" customHeight="1" s="78"/>
    <row r="969" ht="15.75" customHeight="1" s="78"/>
    <row r="970" ht="15.75" customHeight="1" s="78"/>
    <row r="971" ht="15.75" customHeight="1" s="78"/>
    <row r="972" ht="15.75" customHeight="1" s="78"/>
    <row r="973" ht="15.75" customHeight="1" s="78"/>
    <row r="974" ht="15.75" customHeight="1" s="78"/>
    <row r="975" ht="15.75" customHeight="1" s="78"/>
    <row r="976" ht="15.75" customHeight="1" s="78"/>
    <row r="977" ht="15.75" customHeight="1" s="78"/>
    <row r="978" ht="15.75" customHeight="1" s="78"/>
    <row r="979" ht="15.75" customHeight="1" s="78"/>
    <row r="980" ht="15.75" customHeight="1" s="78"/>
    <row r="981" ht="15.75" customHeight="1" s="78"/>
    <row r="982" ht="15.75" customHeight="1" s="78"/>
    <row r="983" ht="15.75" customHeight="1" s="78"/>
    <row r="984" ht="15.75" customHeight="1" s="78"/>
    <row r="985" ht="15.75" customHeight="1" s="78"/>
    <row r="986" ht="15.75" customHeight="1" s="78"/>
    <row r="987" ht="15.75" customHeight="1" s="78"/>
    <row r="988" ht="15.75" customHeight="1" s="78"/>
    <row r="989" ht="15.75" customHeight="1" s="78"/>
    <row r="990" ht="15.75" customHeight="1" s="78"/>
    <row r="991" ht="15.75" customHeight="1" s="78"/>
    <row r="992" ht="15.75" customHeight="1" s="78"/>
    <row r="993" ht="15.75" customHeight="1" s="78"/>
    <row r="994" ht="15.75" customHeight="1" s="78"/>
    <row r="995" ht="15.75" customHeight="1" s="78"/>
    <row r="996" ht="15.75" customHeight="1" s="78"/>
    <row r="997" ht="15.75" customHeight="1" s="78"/>
    <row r="998" ht="15.75" customHeight="1" s="78"/>
    <row r="999" ht="15.75" customHeight="1" s="78"/>
    <row r="1000" ht="15.75" customHeight="1" s="78"/>
  </sheetData>
  <mergeCells count="11">
    <mergeCell ref="D20:E20"/>
    <mergeCell ref="A18:D18"/>
    <mergeCell ref="A19:C19"/>
    <mergeCell ref="D19:E19"/>
    <mergeCell ref="A1:F1"/>
    <mergeCell ref="A22:C22"/>
    <mergeCell ref="D22:E22"/>
    <mergeCell ref="A21:C21"/>
    <mergeCell ref="A2:J2"/>
    <mergeCell ref="A20:C20"/>
    <mergeCell ref="D21:E21"/>
  </mergeCells>
  <dataValidations count="1">
    <dataValidation sqref="E5:E16" showDropDown="0" showInputMessage="0" showErrorMessage="0" allowBlank="1" type="list">
      <formula1>"Pass,Partial,Fail,Not Tested,N/A"</formula1>
    </dataValidation>
  </dataValidations>
  <pageMargins left="0.75" right="0.75" top="1" bottom="1" header="0" footer="0"/>
  <pageSetup orientation="landscape" fitToHeight="0"/>
</worksheet>
</file>

<file path=xl/worksheets/sheet6.xml><?xml version="1.0" encoding="utf-8"?>
<worksheet xmlns="http://schemas.openxmlformats.org/spreadsheetml/2006/main">
  <sheetPr>
    <outlinePr summaryBelow="1" summaryRight="1"/>
    <pageSetUpPr fitToPage="1"/>
  </sheetPr>
  <dimension ref="A1:M49"/>
  <sheetViews>
    <sheetView workbookViewId="0">
      <pane ySplit="4" topLeftCell="A5" activePane="bottomLeft" state="frozen"/>
      <selection pane="bottomLeft" activeCell="A1" sqref="A1"/>
    </sheetView>
  </sheetViews>
  <sheetFormatPr baseColWidth="8" defaultColWidth="14.43" defaultRowHeight="15" customHeight="1"/>
  <cols>
    <col width="8" customWidth="1" style="78" min="1" max="1"/>
    <col width="34" customWidth="1" style="78" min="2" max="2"/>
    <col width="7" customWidth="1" style="78" min="3" max="3"/>
    <col width="14.57" customWidth="1" style="78" min="4" max="4"/>
    <col width="22" customWidth="1" style="78" min="5" max="5"/>
    <col width="13.71" customWidth="1" style="78" min="6" max="6"/>
    <col width="10" customWidth="1" style="78" min="7" max="7"/>
    <col width="40" customWidth="1" style="78" min="8" max="8"/>
    <col width="20.57" customWidth="1" style="78" min="9" max="9"/>
    <col width="11" customWidth="1" style="78" min="10" max="10"/>
    <col width="46" customWidth="1" style="78" min="11" max="11"/>
    <col width="26.29" customWidth="1" style="78" min="12" max="12"/>
    <col width="73.56999999999999" customWidth="1" style="78" min="13" max="13"/>
    <col width="8.710000000000001" customWidth="1" style="78" min="14" max="26"/>
  </cols>
  <sheetData>
    <row r="1">
      <c r="A1" s="3" t="inlineStr">
        <is>
          <t>Accessibility Scorecard — Equity Mobile (Equity Bank, Rwanda)</t>
        </is>
      </c>
    </row>
    <row r="2" ht="24" customHeight="1" s="78">
      <c r="A2" s="6" t="inlineStr">
        <is>
          <t>Blue cells are inputs (Status / Evidence count / Notes). WCAG2ICT and Recommended Improvement columns are reference-only. Everything else recalculates automatically.</t>
        </is>
      </c>
    </row>
    <row r="4" ht="30" customHeight="1" s="78">
      <c r="A4" s="8" t="inlineStr">
        <is>
          <t>SC #</t>
        </is>
      </c>
      <c r="B4" s="8" t="inlineStr">
        <is>
          <t>Success Criterion</t>
        </is>
      </c>
      <c r="C4" s="8" t="inlineStr">
        <is>
          <t>Level</t>
        </is>
      </c>
      <c r="D4" s="8" t="inlineStr">
        <is>
          <t>Principle</t>
        </is>
      </c>
      <c r="E4" s="8" t="inlineStr">
        <is>
          <t>Relevance
weight (1-3)</t>
        </is>
      </c>
      <c r="F4" s="8" t="inlineStr">
        <is>
          <t>Status</t>
        </is>
      </c>
      <c r="G4" s="8" t="inlineStr">
        <is>
          <t>Status
score</t>
        </is>
      </c>
      <c r="H4" s="8" t="inlineStr">
        <is>
          <t>Notes / Evidence</t>
        </is>
      </c>
      <c r="I4" s="8" t="inlineStr">
        <is>
          <t>Instances
found</t>
        </is>
      </c>
      <c r="J4" s="8" t="inlineStr">
        <is>
          <t>Weighted
score</t>
        </is>
      </c>
      <c r="K4" s="8" t="inlineStr">
        <is>
          <t>WCAG2ICT interpretation
(native/mobile software)</t>
        </is>
      </c>
      <c r="L4" s="18" t="inlineStr">
        <is>
          <t>Tested?</t>
        </is>
      </c>
      <c r="M4" s="8" t="inlineStr">
        <is>
          <t>Recommended Improvement</t>
        </is>
      </c>
    </row>
    <row r="5">
      <c r="A5" s="15" t="inlineStr">
        <is>
          <t>1.1.1</t>
        </is>
      </c>
      <c r="B5" s="11" t="inlineStr">
        <is>
          <t>Non-text Content</t>
        </is>
      </c>
      <c r="C5" s="13" t="inlineStr">
        <is>
          <t>A</t>
        </is>
      </c>
      <c r="D5" s="15" t="inlineStr">
        <is>
          <t>Perceivable</t>
        </is>
      </c>
      <c r="E5" s="23" t="n">
        <v>3</v>
      </c>
      <c r="F5" s="26" t="inlineStr">
        <is>
          <t>Fail</t>
        </is>
      </c>
      <c r="G5" s="15">
        <f>IF(F5="Pass",1,IF(F5="Partial",0.5,IF(F5="Fail",0,0)))</f>
        <v/>
      </c>
      <c r="H5" s="34" t="inlineStr">
        <is>
          <t>45 unlabelled controls + 4 visible text strings not exposed to a screen reader. The unlabelled controls are the back arrow / sheet close X on almost every screen, plus the persistent header's profile avatar, QR-scanner and notification-bell icons and the currency dropdown (screens 5-24).</t>
        </is>
      </c>
      <c r="I5" s="23" t="n">
        <v>49</v>
      </c>
      <c r="J5" s="15">
        <f>E5*G5</f>
        <v/>
      </c>
      <c r="K5" s="39" t="inlineStr">
        <is>
          <t>'Web page' -&gt; 'software'; a non-text control's accessible name must be exposed via the platform accessibility API (Android AccessibilityNodeInfo / iOS UIAccessibility), not just visible on screen.</t>
        </is>
      </c>
      <c r="L5" s="15">
        <f>IF(OR(F5="Pass",F5="Partial",F5="Fail"),1,0)</f>
        <v/>
      </c>
      <c r="M5" s="41" t="inlineStr">
        <is>
          <t>Add a contentDescription to the back arrow and bottom-sheet close X (used on nearly every screen), and to the header's avatar, QR-scanner and notification-bell icons and the currency dropdown. Make the account-card text (account type/number, 'View', 'Currency' heading) real accessible text nodes.</t>
        </is>
      </c>
    </row>
    <row r="6">
      <c r="A6" s="29" t="inlineStr">
        <is>
          <t>1.3.1</t>
        </is>
      </c>
      <c r="B6" s="25" t="inlineStr">
        <is>
          <t>Info and Relationships</t>
        </is>
      </c>
      <c r="C6" s="13" t="inlineStr">
        <is>
          <t>A</t>
        </is>
      </c>
      <c r="D6" s="29" t="inlineStr">
        <is>
          <t>Perceivable</t>
        </is>
      </c>
      <c r="E6" s="42" t="n">
        <v>2</v>
      </c>
      <c r="F6" s="43" t="inlineStr">
        <is>
          <t>Partial</t>
        </is>
      </c>
      <c r="G6" s="29">
        <f>IF(F6="Pass",1,IF(F6="Partial",0.5,IF(F6="Fail",0,0)))</f>
        <v/>
      </c>
      <c r="H6" s="45" t="inlineStr">
        <is>
          <t>The bank-picker radio list exposes 6 identical 'not checked' items with no association to the bank name beside each (screen 15). Sheet titles are duplicated behind bottom sheets (15, 16). The 'Home' label is duplicated on the centre FAB (6).</t>
        </is>
      </c>
      <c r="I6" s="42" t="n">
        <v>3</v>
      </c>
      <c r="J6" s="29">
        <f>E6*G6</f>
        <v/>
      </c>
      <c r="K6" s="46" t="inlineStr">
        <is>
          <t>'Markup' -&gt; structural relationships conveyed through the accessibility tree (grouping, headings, lists) rather than HTML; a screen reader must be able to derive the same grouping a sighted user sees.</t>
        </is>
      </c>
      <c r="L6" s="29">
        <f>IF(OR(F6="Pass",F6="Partial",F6="Fail"),1,0)</f>
        <v/>
      </c>
      <c r="M6" s="47" t="inlineStr">
        <is>
          <t>Group each radio button with its bank name so it is announced as e.g. 'Bank of Kigali, radio button, not checked'. Hide the covered page header from accessibility services while a bottom sheet is open.</t>
        </is>
      </c>
    </row>
    <row r="7">
      <c r="A7" s="15" t="inlineStr">
        <is>
          <t>1.3.2</t>
        </is>
      </c>
      <c r="B7" s="11" t="inlineStr">
        <is>
          <t>Meaningful Sequence</t>
        </is>
      </c>
      <c r="C7" s="13" t="inlineStr">
        <is>
          <t>A</t>
        </is>
      </c>
      <c r="D7" s="15" t="inlineStr">
        <is>
          <t>Perceivable</t>
        </is>
      </c>
      <c r="E7" s="23" t="n">
        <v>2</v>
      </c>
      <c r="F7" s="50" t="inlineStr">
        <is>
          <t>Not Tested</t>
        </is>
      </c>
      <c r="G7" s="15">
        <f>IF(F7="Pass",1,IF(F7="Partial",0.5,IF(F7="Fail",0,0)))</f>
        <v/>
      </c>
      <c r="H7" s="34" t="inlineStr">
        <is>
          <t>Requires manual TalkBack swipe-order testing.</t>
        </is>
      </c>
      <c r="I7" s="23" t="inlineStr">
        <is>
          <t>-</t>
        </is>
      </c>
      <c r="J7" s="15">
        <f>E7*G7</f>
        <v/>
      </c>
      <c r="K7" s="39" t="inlineStr">
        <is>
          <t>Applies as written: the swipe/focus order exposed to a screen reader must match the meaningful reading order, independent of visual layout.</t>
        </is>
      </c>
      <c r="L7" s="15">
        <f>IF(OR(F7="Pass",F7="Partial",F7="Fail"),1,0)</f>
        <v/>
      </c>
      <c r="M7" s="53" t="inlineStr">
        <is>
          <t>No fix to prescribe yet - conduct the manual test first to confirm actual status.</t>
        </is>
      </c>
    </row>
    <row r="8">
      <c r="A8" s="29" t="inlineStr">
        <is>
          <t>1.3.3</t>
        </is>
      </c>
      <c r="B8" s="25" t="inlineStr">
        <is>
          <t>Sensory Characteristics</t>
        </is>
      </c>
      <c r="C8" s="13" t="inlineStr">
        <is>
          <t>A</t>
        </is>
      </c>
      <c r="D8" s="29" t="inlineStr">
        <is>
          <t>Perceivable</t>
        </is>
      </c>
      <c r="E8" s="42" t="n">
        <v>1</v>
      </c>
      <c r="F8" s="54" t="inlineStr">
        <is>
          <t>Pass</t>
        </is>
      </c>
      <c r="G8" s="29">
        <f>IF(F8="Pass",1,IF(F8="Partial",0.5,IF(F8="Fail",0,0)))</f>
        <v/>
      </c>
      <c r="H8" s="45" t="inlineStr">
        <is>
          <t>Forex 'To Buy' / 'To Sell' use colour + arrow + text. The 'selected' radio uses a checkmark shape, not colour alone (9). No shape-only or position-only instructions observed.</t>
        </is>
      </c>
      <c r="I8" s="42" t="inlineStr">
        <is>
          <t>-</t>
        </is>
      </c>
      <c r="J8" s="29">
        <f>E8*G8</f>
        <v/>
      </c>
      <c r="K8" s="46" t="inlineStr">
        <is>
          <t>Applies as written; no web-specific terms to reinterpret.</t>
        </is>
      </c>
      <c r="L8" s="29">
        <f>IF(OR(F8="Pass",F8="Partial",F8="Fail"),1,0)</f>
        <v/>
      </c>
      <c r="M8" s="57" t="inlineStr">
        <is>
          <t>No action needed on current evidence.</t>
        </is>
      </c>
    </row>
    <row r="9">
      <c r="A9" s="15" t="inlineStr">
        <is>
          <t>1.4.1</t>
        </is>
      </c>
      <c r="B9" s="11" t="inlineStr">
        <is>
          <t>Use of Color</t>
        </is>
      </c>
      <c r="C9" s="13" t="inlineStr">
        <is>
          <t>A</t>
        </is>
      </c>
      <c r="D9" s="15" t="inlineStr">
        <is>
          <t>Perceivable</t>
        </is>
      </c>
      <c r="E9" s="23" t="n">
        <v>1</v>
      </c>
      <c r="F9" s="43" t="inlineStr">
        <is>
          <t>Partial</t>
        </is>
      </c>
      <c r="G9" s="15">
        <f>IF(F9="Pass",1,IF(F9="Partial",0.5,IF(F9="Fail",0,0)))</f>
        <v/>
      </c>
      <c r="H9" s="34" t="inlineStr">
        <is>
          <t>The selected Transact filter chip differs only by a coral outline and text colour (7, 13). Account carousel position is shown only by page dots (5, 6).</t>
        </is>
      </c>
      <c r="I9" s="23" t="n">
        <v>2</v>
      </c>
      <c r="J9" s="15">
        <f>E9*G9</f>
        <v/>
      </c>
      <c r="K9" s="39" t="inlineStr">
        <is>
          <t>Applies as written; on native software this covers icon-only state indicators as much as web colour cues.</t>
        </is>
      </c>
      <c r="L9" s="15">
        <f>IF(OR(F9="Pass",F9="Partial",F9="Fail"),1,0)</f>
        <v/>
      </c>
      <c r="M9" s="62" t="inlineStr">
        <is>
          <t>Expose the selected filter chip's state (selected / not selected) programmatically and add a non-colour cue such as a checkmark or bold fill. Announce carousel position ('Account 1 of 2').</t>
        </is>
      </c>
    </row>
    <row r="10">
      <c r="A10" s="29" t="inlineStr">
        <is>
          <t>2.1.1</t>
        </is>
      </c>
      <c r="B10" s="25" t="inlineStr">
        <is>
          <t>Keyboard / assistive-tech equivalent</t>
        </is>
      </c>
      <c r="C10" s="13" t="inlineStr">
        <is>
          <t>A</t>
        </is>
      </c>
      <c r="D10" s="29" t="inlineStr">
        <is>
          <t>Operable</t>
        </is>
      </c>
      <c r="E10" s="42" t="n">
        <v>2</v>
      </c>
      <c r="F10" s="50" t="inlineStr">
        <is>
          <t>Not Tested</t>
        </is>
      </c>
      <c r="G10" s="29">
        <f>IF(F10="Pass",1,IF(F10="Partial",0.5,IF(F10="Fail",0,0)))</f>
        <v/>
      </c>
      <c r="H10" s="45" t="inlineStr">
        <is>
          <t>Requires manual Switch Access / external keyboard testing.</t>
        </is>
      </c>
      <c r="I10" s="42" t="inlineStr">
        <is>
          <t>-</t>
        </is>
      </c>
      <c r="J10" s="29">
        <f>E10*G10</f>
        <v/>
      </c>
      <c r="K10" s="46" t="inlineStr">
        <is>
          <t>'Keyboard' -&gt; 'keyboard interface', which WCAG2ICT clarifies includes assistive technologies such as Switch Access/Full Keyboard Access that emulate key input, not only a physical keyboard.</t>
        </is>
      </c>
      <c r="L10" s="29">
        <f>IF(OR(F10="Pass",F10="Partial",F10="Fail"),1,0)</f>
        <v/>
      </c>
      <c r="M10" s="57" t="inlineStr">
        <is>
          <t>No fix to prescribe yet - conduct the manual test first to confirm actual status.</t>
        </is>
      </c>
    </row>
    <row r="11">
      <c r="A11" s="15" t="inlineStr">
        <is>
          <t>2.4.3</t>
        </is>
      </c>
      <c r="B11" s="11" t="inlineStr">
        <is>
          <t>Focus Order</t>
        </is>
      </c>
      <c r="C11" s="13" t="inlineStr">
        <is>
          <t>A</t>
        </is>
      </c>
      <c r="D11" s="15" t="inlineStr">
        <is>
          <t>Operable</t>
        </is>
      </c>
      <c r="E11" s="23" t="n">
        <v>3</v>
      </c>
      <c r="F11" s="50" t="inlineStr">
        <is>
          <t>Not Tested</t>
        </is>
      </c>
      <c r="G11" s="15">
        <f>IF(F11="Pass",1,IF(F11="Partial",0.5,IF(F11="Fail",0,0)))</f>
        <v/>
      </c>
      <c r="H11" s="34" t="inlineStr">
        <is>
          <t>Requires manual TalkBack testing.</t>
        </is>
      </c>
      <c r="I11" s="23" t="inlineStr">
        <is>
          <t>-</t>
        </is>
      </c>
      <c r="J11" s="15">
        <f>E11*G11</f>
        <v/>
      </c>
      <c r="K11" s="39" t="inlineStr">
        <is>
          <t>Applies as written to the platform's own focus/accessibility-cursor order.</t>
        </is>
      </c>
      <c r="L11" s="15">
        <f>IF(OR(F11="Pass",F11="Partial",F11="Fail"),1,0)</f>
        <v/>
      </c>
      <c r="M11" s="53" t="inlineStr">
        <is>
          <t>No fix to prescribe yet - conduct the manual test first to confirm actual status.</t>
        </is>
      </c>
    </row>
    <row r="12">
      <c r="A12" s="29" t="inlineStr">
        <is>
          <t>2.4.4</t>
        </is>
      </c>
      <c r="B12" s="25" t="inlineStr">
        <is>
          <t>Link Purpose (In Context)</t>
        </is>
      </c>
      <c r="C12" s="13" t="inlineStr">
        <is>
          <t>A</t>
        </is>
      </c>
      <c r="D12" s="29" t="inlineStr">
        <is>
          <t>Operable</t>
        </is>
      </c>
      <c r="E12" s="42" t="n">
        <v>2</v>
      </c>
      <c r="F12" s="26" t="inlineStr">
        <is>
          <t>Fail</t>
        </is>
      </c>
      <c r="G12" s="29">
        <f>IF(F12="Pass",1,IF(F12="Partial",0.5,IF(F12="Fail",0,0)))</f>
        <v/>
      </c>
      <c r="H12" s="45" t="inlineStr">
        <is>
          <t>Icon-only controls with no accessible purpose text: back / close, QR scanner, notifications, avatar, account '...' menu, carousel expand button.</t>
        </is>
      </c>
      <c r="I12" s="42" t="n">
        <v>45</v>
      </c>
      <c r="J12" s="29">
        <f>E12*G12</f>
        <v/>
      </c>
      <c r="K12" s="46" t="inlineStr">
        <is>
          <t>'Link' -&gt; any control that navigates or triggers an action (a quick-link icon, a list row); purpose must be determinable from its accessible name or surrounding context.</t>
        </is>
      </c>
      <c r="L12" s="29">
        <f>IF(OR(F12="Pass",F12="Partial",F12="Fail"),1,0)</f>
        <v/>
      </c>
      <c r="M12" s="64" t="inlineStr">
        <is>
          <t>Give each icon-only control a name stating its action ('Back', 'Close', 'Scan QR code', 'Notifications', 'Profile', 'More account options').</t>
        </is>
      </c>
    </row>
    <row r="13">
      <c r="A13" s="15" t="inlineStr">
        <is>
          <t>2.5.1</t>
        </is>
      </c>
      <c r="B13" s="11" t="inlineStr">
        <is>
          <t>Pointer Gestures</t>
        </is>
      </c>
      <c r="C13" s="13" t="inlineStr">
        <is>
          <t>A</t>
        </is>
      </c>
      <c r="D13" s="15" t="inlineStr">
        <is>
          <t>Operable</t>
        </is>
      </c>
      <c r="E13" s="23" t="n">
        <v>1</v>
      </c>
      <c r="F13" s="54" t="inlineStr">
        <is>
          <t>Pass</t>
        </is>
      </c>
      <c r="G13" s="15">
        <f>IF(F13="Pass",1,IF(F13="Partial",0.5,IF(F13="Fail",0,0)))</f>
        <v/>
      </c>
      <c r="H13" s="34" t="inlineStr">
        <is>
          <t>Account-card carousel has a separate expand button (layoutExpandButton), so it is not swipe-only. No swipe-to-confirm or multi-point gestures observed.</t>
        </is>
      </c>
      <c r="I13" s="23" t="inlineStr">
        <is>
          <t>-</t>
        </is>
      </c>
      <c r="J13" s="15">
        <f>E13*G13</f>
        <v/>
      </c>
      <c r="K13" s="39" t="inlineStr">
        <is>
          <t>Applies as written; written with touch interfaces in mind from WCAG 2.1 onward.</t>
        </is>
      </c>
      <c r="L13" s="15">
        <f>IF(OR(F13="Pass",F13="Partial",F13="Fail"),1,0)</f>
        <v/>
      </c>
      <c r="M13" s="53" t="inlineStr">
        <is>
          <t>No action needed on current evidence (the expand button still needs a label - see 1.1.1).</t>
        </is>
      </c>
    </row>
    <row r="14">
      <c r="A14" s="29" t="inlineStr">
        <is>
          <t>2.5.2</t>
        </is>
      </c>
      <c r="B14" s="25" t="inlineStr">
        <is>
          <t>Pointer Cancellation</t>
        </is>
      </c>
      <c r="C14" s="13" t="inlineStr">
        <is>
          <t>A</t>
        </is>
      </c>
      <c r="D14" s="29" t="inlineStr">
        <is>
          <t>Operable</t>
        </is>
      </c>
      <c r="E14" s="42" t="n">
        <v>1</v>
      </c>
      <c r="F14" s="50" t="inlineStr">
        <is>
          <t>Not Tested</t>
        </is>
      </c>
      <c r="G14" s="29">
        <f>IF(F14="Pass",1,IF(F14="Partial",0.5,IF(F14="Fail",0,0)))</f>
        <v/>
      </c>
      <c r="H14" s="45" t="inlineStr">
        <is>
          <t>Requires manual down-event/up-event testing.</t>
        </is>
      </c>
      <c r="I14" s="42" t="inlineStr">
        <is>
          <t>-</t>
        </is>
      </c>
      <c r="J14" s="29">
        <f>E14*G14</f>
        <v/>
      </c>
      <c r="K14" s="46" t="inlineStr">
        <is>
          <t>Applies as written to native touch handling (down-event vs up-event activation).</t>
        </is>
      </c>
      <c r="L14" s="29">
        <f>IF(OR(F14="Pass",F14="Partial",F14="Fail"),1,0)</f>
        <v/>
      </c>
      <c r="M14" s="57" t="inlineStr">
        <is>
          <t>No fix to prescribe yet - conduct the manual test first to confirm actual status.</t>
        </is>
      </c>
    </row>
    <row r="15">
      <c r="A15" s="15" t="inlineStr">
        <is>
          <t>2.5.3</t>
        </is>
      </c>
      <c r="B15" s="11" t="inlineStr">
        <is>
          <t>Label in Name</t>
        </is>
      </c>
      <c r="C15" s="13" t="inlineStr">
        <is>
          <t>A</t>
        </is>
      </c>
      <c r="D15" s="15" t="inlineStr">
        <is>
          <t>Operable</t>
        </is>
      </c>
      <c r="E15" s="23" t="n">
        <v>2</v>
      </c>
      <c r="F15" s="43" t="inlineStr">
        <is>
          <t>Partial</t>
        </is>
      </c>
      <c r="G15" s="15">
        <f>IF(F15="Pass",1,IF(F15="Partial",0.5,IF(F15="Fail",0,0)))</f>
        <v/>
      </c>
      <c r="H15" s="34" t="inlineStr">
        <is>
          <t>Visible text not included in the accessible name: account-card text, 'View', the 'Currency' heading (screens 5, 6, 17).</t>
        </is>
      </c>
      <c r="I15" s="23" t="n">
        <v>4</v>
      </c>
      <c r="J15" s="15">
        <f>E15*G15</f>
        <v/>
      </c>
      <c r="K15" s="39" t="inlineStr">
        <is>
          <t>Applies as written: the programmatic accessible name must contain the visible label text so voice-control users can reference what they see.</t>
        </is>
      </c>
      <c r="L15" s="15">
        <f>IF(OR(F15="Pass",F15="Partial",F15="Fail"),1,0)</f>
        <v/>
      </c>
      <c r="M15" s="62" t="inlineStr">
        <is>
          <t>Make sure the accessible name of the account card, 'View' shortcut and currency selector contains its visible text verbatim.</t>
        </is>
      </c>
    </row>
    <row r="16">
      <c r="A16" s="29" t="inlineStr">
        <is>
          <t>3.3.1</t>
        </is>
      </c>
      <c r="B16" s="25" t="inlineStr">
        <is>
          <t>Error Identification</t>
        </is>
      </c>
      <c r="C16" s="13" t="inlineStr">
        <is>
          <t>A</t>
        </is>
      </c>
      <c r="D16" s="29" t="inlineStr">
        <is>
          <t>Understandable</t>
        </is>
      </c>
      <c r="E16" s="42" t="n">
        <v>3</v>
      </c>
      <c r="F16" s="26" t="inlineStr">
        <is>
          <t>Not Tested</t>
        </is>
      </c>
      <c r="G16" s="29">
        <f>IF(F16="Pass",1,IF(F16="Partial",0.5,IF(F16="Fail",0,0)))</f>
        <v/>
      </c>
      <c r="H16" s="45" t="inlineStr">
        <is>
          <t>No inline field validation was triggered in the captured flows. The e-Kash limit dialog (20) and location-permission popup (1) are plain text, but whether they are announced was not confirmed.</t>
        </is>
      </c>
      <c r="I16" s="42" t="inlineStr">
        <is>
          <t>-</t>
        </is>
      </c>
      <c r="J16" s="29">
        <f>E16*G16</f>
        <v/>
      </c>
      <c r="K16" s="46" t="inlineStr">
        <is>
          <t>Applies as written; the error must be identified through the accessibility API (e.g. announced), not only shown visually.</t>
        </is>
      </c>
      <c r="L16" s="29">
        <f>IF(OR(F16="Pass",F16="Partial",F16="Fail"),1,0)</f>
        <v/>
      </c>
      <c r="M16" s="64" t="inlineStr">
        <is>
          <t>No fix to prescribe yet - trigger validation errors (e.g. an invalid account number) with TalkBack on.</t>
        </is>
      </c>
    </row>
    <row r="17">
      <c r="A17" s="15" t="inlineStr">
        <is>
          <t>3.3.2</t>
        </is>
      </c>
      <c r="B17" s="11" t="inlineStr">
        <is>
          <t>Labels or Instructions</t>
        </is>
      </c>
      <c r="C17" s="13" t="inlineStr">
        <is>
          <t>A</t>
        </is>
      </c>
      <c r="D17" s="15" t="inlineStr">
        <is>
          <t>Understandable</t>
        </is>
      </c>
      <c r="E17" s="23" t="n">
        <v>3</v>
      </c>
      <c r="F17" s="26" t="inlineStr">
        <is>
          <t>Fail</t>
        </is>
      </c>
      <c r="G17" s="15">
        <f>IF(F17="Pass",1,IF(F17="Partial",0.5,IF(F17="Fail",0,0)))</f>
        <v/>
      </c>
      <c r="H17" s="34" t="inlineStr">
        <is>
          <t>The amount field has only the placeholder 'Enter an amount' (8, 12, 17, 19). The other-bank recipient 'Full name' and 'Account number' fields are placeholder-only (16). The e-Kash recipient field is a truncated placeholder only (21). Dropdowns do have persistent labels.</t>
        </is>
      </c>
      <c r="I17" s="23" t="n">
        <v>4</v>
      </c>
      <c r="J17" s="15">
        <f>E17*G17</f>
        <v/>
      </c>
      <c r="K17" s="39" t="inlineStr">
        <is>
          <t>Applies as written; WCAG2ICT notes placeholder-only text that disappears on input/focus is a common native-software failure mode of this criterion.</t>
        </is>
      </c>
      <c r="L17" s="15">
        <f>IF(OR(F17="Pass",F17="Partial",F17="Fail"),1,0)</f>
        <v/>
      </c>
      <c r="M17" s="41" t="inlineStr">
        <is>
          <t>Give the amount, recipient full-name, account-number and e-Kash recipient fields persistent labels (floating-label pattern) that stay announced after typing starts.</t>
        </is>
      </c>
    </row>
    <row r="18">
      <c r="A18" s="29" t="inlineStr">
        <is>
          <t>3.3.9</t>
        </is>
      </c>
      <c r="B18" s="25" t="inlineStr">
        <is>
          <t>Redundant Entry</t>
        </is>
      </c>
      <c r="C18" s="13" t="inlineStr">
        <is>
          <t>A</t>
        </is>
      </c>
      <c r="D18" s="29" t="inlineStr">
        <is>
          <t>Understandable</t>
        </is>
      </c>
      <c r="E18" s="42" t="n">
        <v>1</v>
      </c>
      <c r="F18" s="50" t="inlineStr">
        <is>
          <t>Not Tested</t>
        </is>
      </c>
      <c r="G18" s="29">
        <f>IF(F18="Pass",1,IF(F18="Partial",0.5,IF(F18="Fail",0,0)))</f>
        <v/>
      </c>
      <c r="H18" s="45" t="inlineStr">
        <is>
          <t>Requires manual walkthrough. Positive signals: contact-book picker, recipient search, Favourites and Recents (14, 18, 21). All were empty for this test account.</t>
        </is>
      </c>
      <c r="I18" s="42" t="inlineStr">
        <is>
          <t>-</t>
        </is>
      </c>
      <c r="J18" s="29">
        <f>E18*G18</f>
        <v/>
      </c>
      <c r="K18" s="46" t="inlineStr">
        <is>
          <t>Applies as written; added in WCAG 2.2 with no web-specific terms.</t>
        </is>
      </c>
      <c r="L18" s="29">
        <f>IF(OR(F18="Pass",F18="Partial",F18="Fail"),1,0)</f>
        <v/>
      </c>
      <c r="M18" s="57" t="inlineStr">
        <is>
          <t>No fix to prescribe yet - conduct the manual test first to confirm actual status.</t>
        </is>
      </c>
    </row>
    <row r="19">
      <c r="A19" s="15" t="inlineStr">
        <is>
          <t>1.3.5</t>
        </is>
      </c>
      <c r="B19" s="11" t="inlineStr">
        <is>
          <t>Identify Input Purpose</t>
        </is>
      </c>
      <c r="C19" s="48" t="inlineStr">
        <is>
          <t>AA</t>
        </is>
      </c>
      <c r="D19" s="15" t="inlineStr">
        <is>
          <t>Perceivable</t>
        </is>
      </c>
      <c r="E19" s="23" t="n">
        <v>2</v>
      </c>
      <c r="F19" s="50" t="inlineStr">
        <is>
          <t>Not Tested</t>
        </is>
      </c>
      <c r="G19" s="15">
        <f>IF(F19="Pass",1,IF(F19="Partial",0.5,IF(F19="Fail",0,0)))</f>
        <v/>
      </c>
      <c r="H19" s="34" t="inlineStr">
        <is>
          <t>Requires manual check: do fields like phone number / amount expose a standard input type so OS-level autofill can offer to complete them?</t>
        </is>
      </c>
      <c r="I19" s="23" t="inlineStr">
        <is>
          <t>-</t>
        </is>
      </c>
      <c r="J19" s="15">
        <f>E19*G19</f>
        <v/>
      </c>
      <c r="K19" s="39" t="inlineStr">
        <is>
          <t>'Input purpose... can be programmatically determined' maps to using standard platform input types/autofill hints (e.g. Android autofillHints) rather than a generic text field.</t>
        </is>
      </c>
      <c r="L19" s="15">
        <f>IF(OR(F19="Pass",F19="Partial",F19="Fail"),1,0)</f>
        <v/>
      </c>
      <c r="M19" s="53" t="inlineStr">
        <is>
          <t>No fix to prescribe yet - conduct the manual test first to confirm actual status.</t>
        </is>
      </c>
    </row>
    <row r="20">
      <c r="A20" s="29" t="inlineStr">
        <is>
          <t>3.2.1</t>
        </is>
      </c>
      <c r="B20" s="25" t="inlineStr">
        <is>
          <t>On Focus</t>
        </is>
      </c>
      <c r="C20" s="13" t="inlineStr">
        <is>
          <t>A</t>
        </is>
      </c>
      <c r="D20" s="29" t="inlineStr">
        <is>
          <t>Operable</t>
        </is>
      </c>
      <c r="E20" s="42" t="n">
        <v>2</v>
      </c>
      <c r="F20" s="50" t="inlineStr">
        <is>
          <t>Not Tested</t>
        </is>
      </c>
      <c r="G20" s="29">
        <f>IF(F20="Pass",1,IF(F20="Partial",0.5,IF(F20="Fail",0,0)))</f>
        <v/>
      </c>
      <c r="H20" s="45" t="inlineStr">
        <is>
          <t>Requires manual check: does simply moving focus onto a field (without activating it) ever trigger a navigation or submission?</t>
        </is>
      </c>
      <c r="I20" s="42" t="inlineStr">
        <is>
          <t>-</t>
        </is>
      </c>
      <c r="J20" s="29">
        <f>E20*G20</f>
        <v/>
      </c>
      <c r="K20" s="46" t="inlineStr">
        <is>
          <t>Applies as written; on native software this covers focus changes triggered by the accessibility cursor, not only literal keyboard focus.</t>
        </is>
      </c>
      <c r="L20" s="29">
        <f>IF(OR(F20="Pass",F20="Partial",F20="Fail"),1,0)</f>
        <v/>
      </c>
      <c r="M20" s="57" t="inlineStr">
        <is>
          <t>No fix to prescribe yet - conduct the manual test first to confirm actual status.</t>
        </is>
      </c>
    </row>
    <row r="21" ht="15.75" customHeight="1" s="78">
      <c r="A21" s="15" t="inlineStr">
        <is>
          <t>3.2.2</t>
        </is>
      </c>
      <c r="B21" s="11" t="inlineStr">
        <is>
          <t>On Input</t>
        </is>
      </c>
      <c r="C21" s="13" t="inlineStr">
        <is>
          <t>A</t>
        </is>
      </c>
      <c r="D21" s="15" t="inlineStr">
        <is>
          <t>Operable</t>
        </is>
      </c>
      <c r="E21" s="23" t="n">
        <v>2</v>
      </c>
      <c r="F21" s="50" t="inlineStr">
        <is>
          <t>Not Tested</t>
        </is>
      </c>
      <c r="G21" s="15">
        <f>IF(F21="Pass",1,IF(F21="Partial",0.5,IF(F21="Fail",0,0)))</f>
        <v/>
      </c>
      <c r="H21" s="34" t="inlineStr">
        <is>
          <t>Requires manual check: does changing a field's value (e.g. selecting MTN vs Airtel) ever submit or navigate without an explicit confirm action?</t>
        </is>
      </c>
      <c r="I21" s="23" t="inlineStr">
        <is>
          <t>-</t>
        </is>
      </c>
      <c r="J21" s="15">
        <f>E21*G21</f>
        <v/>
      </c>
      <c r="K21" s="39" t="inlineStr">
        <is>
          <t>Applies as written; important on forms with toggles/selectors (network, Self/Other) that a screen-reader user changes one at a time.</t>
        </is>
      </c>
      <c r="L21" s="15">
        <f>IF(OR(F21="Pass",F21="Partial",F21="Fail"),1,0)</f>
        <v/>
      </c>
      <c r="M21" s="53" t="inlineStr">
        <is>
          <t>No fix to prescribe yet - conduct the manual test first to confirm actual status.</t>
        </is>
      </c>
    </row>
    <row r="22" ht="15.75" customHeight="1" s="78">
      <c r="A22" s="29" t="inlineStr">
        <is>
          <t>4.1.2</t>
        </is>
      </c>
      <c r="B22" s="25" t="inlineStr">
        <is>
          <t>Name, Role, Value</t>
        </is>
      </c>
      <c r="C22" s="13" t="inlineStr">
        <is>
          <t>A</t>
        </is>
      </c>
      <c r="D22" s="29" t="inlineStr">
        <is>
          <t>Robust</t>
        </is>
      </c>
      <c r="E22" s="42" t="n">
        <v>3</v>
      </c>
      <c r="F22" s="26" t="inlineStr">
        <is>
          <t>Fail</t>
        </is>
      </c>
      <c r="G22" s="29">
        <f>IF(F22="Pass",1,IF(F22="Partial",0.5,IF(F22="Fail",0,0)))</f>
        <v/>
      </c>
      <c r="H22" s="45" t="inlineStr">
        <is>
          <t>45 controls with no accessible name, plus 3 duplicate-description groups. The 6 bank radio buttons all announce 'not checked', 'Home' is duplicated, and 'Buy airtime' is duplicated.</t>
        </is>
      </c>
      <c r="I22" s="42" t="n">
        <v>48</v>
      </c>
      <c r="J22" s="29">
        <f>E22*G22</f>
        <v/>
      </c>
      <c r="K22" s="46" t="inlineStr">
        <is>
          <t>This is the core native-software criterion in WCAG2ICT: 'name, role, value' maps directly to what a platform accessibility API exposes for each control - exactly what Google Accessibility Scanner tests.</t>
        </is>
      </c>
      <c r="L22" s="29">
        <f>IF(OR(F22="Pass",F22="Partial",F22="Fail"),1,0)</f>
        <v/>
      </c>
      <c r="M22" s="64" t="inlineStr">
        <is>
          <t>Fix the unlabelled controls (see 1.1.1). Give radio buttons a name plus a checked state. De-duplicate the 'Home' FAB / nav item and the two 'Buy airtime' actions so each has a distinct role and name.</t>
        </is>
      </c>
    </row>
    <row r="23" ht="15.75" customHeight="1" s="78">
      <c r="A23" s="15" t="inlineStr">
        <is>
          <t>1.4.3</t>
        </is>
      </c>
      <c r="B23" s="11" t="inlineStr">
        <is>
          <t>Contrast (Minimum)</t>
        </is>
      </c>
      <c r="C23" s="48" t="inlineStr">
        <is>
          <t>AA</t>
        </is>
      </c>
      <c r="D23" s="15" t="inlineStr">
        <is>
          <t>Perceivable</t>
        </is>
      </c>
      <c r="E23" s="23" t="n">
        <v>1</v>
      </c>
      <c r="F23" s="26" t="inlineStr">
        <is>
          <t>Fail</t>
        </is>
      </c>
      <c r="G23" s="15">
        <f>IF(F23="Pass",1,IF(F23="Partial",0.5,IF(F23="Fail",0,0)))</f>
        <v/>
      </c>
      <c r="H23" s="34" t="inlineStr">
        <is>
          <t>12 text-contrast failures, lowest 1.04:1. Most sit on the dark-red account cards (#821A1A / #912422 on #8F201F) and on the account number (#413F3F on #333131). Disabled buttons ('Let me in', 'Continue', 'Submit') are low-contrast grey. Near misses: 4.44:1 login hint, 4.45:1 account name.</t>
        </is>
      </c>
      <c r="I23" s="23" t="n">
        <v>12</v>
      </c>
      <c r="J23" s="15">
        <f>E23*G23</f>
        <v/>
      </c>
      <c r="K23" s="39" t="inlineStr">
        <is>
          <t>Applies as written; 'text' includes native UI labels, not only web text.</t>
        </is>
      </c>
      <c r="L23" s="15">
        <f>IF(OR(F23="Pass",F23="Partial",F23="Fail"),1,0)</f>
        <v/>
      </c>
      <c r="M23" s="41" t="inlineStr">
        <is>
          <t>Raise the text on the dark-red account cards and the grey account-number text to at least 4.5:1. The failing pairs are near-identical shades of the card colour, so this looks like a card-theming issue to fix at the style level.</t>
        </is>
      </c>
    </row>
    <row r="24" ht="15.75" customHeight="1" s="78">
      <c r="A24" s="29" t="inlineStr">
        <is>
          <t>1.4.4</t>
        </is>
      </c>
      <c r="B24" s="25" t="inlineStr">
        <is>
          <t>Resize Text</t>
        </is>
      </c>
      <c r="C24" s="48" t="inlineStr">
        <is>
          <t>AA</t>
        </is>
      </c>
      <c r="D24" s="29" t="inlineStr">
        <is>
          <t>Perceivable</t>
        </is>
      </c>
      <c r="E24" s="42" t="n">
        <v>1</v>
      </c>
      <c r="F24" s="50" t="inlineStr">
        <is>
          <t>Partial</t>
        </is>
      </c>
      <c r="G24" s="29">
        <f>IF(F24="Pass",1,IF(F24="Partial",0.5,IF(F24="Fail",0,0)))</f>
        <v/>
      </c>
      <c r="H24" s="45" t="inlineStr">
        <is>
          <t>Scanner flagged 69 fixed-height / fixed-width containers holding scalable text: 'Let me in', bottom navigation, balance and account cards, shortcut labels, Transact tiles, send button, bottom sheets. Clipping at 200% not yet confirmed visually.</t>
        </is>
      </c>
      <c r="I24" s="42" t="n">
        <v>69</v>
      </c>
      <c r="J24" s="29">
        <f>E24*G24</f>
        <v/>
      </c>
      <c r="K24" s="46" t="inlineStr">
        <is>
          <t>Applies with a platform-specific mechanism: resizing happens via the OS text-scale setting rather than browser zoom.</t>
        </is>
      </c>
      <c r="L24" s="29">
        <f>IF(OR(F24="Pass",F24="Partial",F24="Fail"),1,0)</f>
        <v/>
      </c>
      <c r="M24" s="57" t="inlineStr">
        <is>
          <t>Change fixed LayoutParams to wrap_content / min-height on the flagged containers, then verify at 200% system font size.</t>
        </is>
      </c>
    </row>
    <row r="25" ht="15.75" customHeight="1" s="78">
      <c r="A25" s="15" t="inlineStr">
        <is>
          <t>1.4.10</t>
        </is>
      </c>
      <c r="B25" s="11" t="inlineStr">
        <is>
          <t>Reflow</t>
        </is>
      </c>
      <c r="C25" s="48" t="inlineStr">
        <is>
          <t>AA</t>
        </is>
      </c>
      <c r="D25" s="15" t="inlineStr">
        <is>
          <t>Perceivable</t>
        </is>
      </c>
      <c r="E25" s="23" t="n">
        <v>1</v>
      </c>
      <c r="F25" s="50" t="inlineStr">
        <is>
          <t>Not Tested</t>
        </is>
      </c>
      <c r="G25" s="15">
        <f>IF(F25="Pass",1,IF(F25="Partial",0.5,IF(F25="Fail",0,0)))</f>
        <v/>
      </c>
      <c r="H25" s="34" t="inlineStr">
        <is>
          <t>Requires manual OS font-scaling / zoom test.</t>
        </is>
      </c>
      <c r="I25" s="23" t="inlineStr">
        <is>
          <t>-</t>
        </is>
      </c>
      <c r="J25" s="15">
        <f>E25*G25</f>
        <v/>
      </c>
      <c r="K25" s="39" t="inlineStr">
        <is>
          <t>WCAG2ICT notes this applies where the software supports resizing/zoom; if the app has no zoom/scale feature at all, evaluate against the OS-level scaling it does support.</t>
        </is>
      </c>
      <c r="L25" s="15">
        <f>IF(OR(F25="Pass",F25="Partial",F25="Fail"),1,0)</f>
        <v/>
      </c>
      <c r="M25" s="53" t="inlineStr">
        <is>
          <t>No fix to prescribe yet - conduct the manual test first to confirm actual status.</t>
        </is>
      </c>
    </row>
    <row r="26" ht="15.75" customHeight="1" s="78">
      <c r="A26" s="29" t="inlineStr">
        <is>
          <t>1.4.11</t>
        </is>
      </c>
      <c r="B26" s="25" t="inlineStr">
        <is>
          <t>Non-text Contrast</t>
        </is>
      </c>
      <c r="C26" s="48" t="inlineStr">
        <is>
          <t>AA</t>
        </is>
      </c>
      <c r="D26" s="29" t="inlineStr">
        <is>
          <t>Perceivable</t>
        </is>
      </c>
      <c r="E26" s="42" t="n">
        <v>2</v>
      </c>
      <c r="F26" s="26" t="inlineStr">
        <is>
          <t>Fail</t>
        </is>
      </c>
      <c r="G26" s="29">
        <f>IF(F26="Pass",1,IF(F26="Partial",0.5,IF(F26="Fail",0,0)))</f>
        <v/>
      </c>
      <c r="H26" s="45" t="inlineStr">
        <is>
          <t>14 icon-contrast failures, all below 2:1 (lowest 1.01:1): the QR icon, the account '...' menu, the shortcut icons and the loading spinner against the dark-grey theme.</t>
        </is>
      </c>
      <c r="I26" s="42" t="n">
        <v>14</v>
      </c>
      <c r="J26" s="29">
        <f>E26*G26</f>
        <v/>
      </c>
      <c r="K26" s="46" t="inlineStr">
        <is>
          <t>Applies as written to native icons and UI component boundaries.</t>
        </is>
      </c>
      <c r="L26" s="29">
        <f>IF(OR(F26="Pass",F26="Partial",F26="Fail"),1,0)</f>
        <v/>
      </c>
      <c r="M26" s="64" t="inlineStr">
        <is>
          <t>Lighten the icon foreground on the dark-grey (#3C3A3B-#444242) surfaces so every functional icon reaches 3:1.</t>
        </is>
      </c>
    </row>
    <row r="27" ht="15.75" customHeight="1" s="78">
      <c r="A27" s="15" t="inlineStr">
        <is>
          <t>2.4.6</t>
        </is>
      </c>
      <c r="B27" s="11" t="inlineStr">
        <is>
          <t>Headings and Labels</t>
        </is>
      </c>
      <c r="C27" s="48" t="inlineStr">
        <is>
          <t>AA</t>
        </is>
      </c>
      <c r="D27" s="15" t="inlineStr">
        <is>
          <t>Operable</t>
        </is>
      </c>
      <c r="E27" s="23" t="n">
        <v>1</v>
      </c>
      <c r="F27" s="54" t="inlineStr">
        <is>
          <t>Pass</t>
        </is>
      </c>
      <c r="G27" s="15">
        <f>IF(F27="Pass",1,IF(F27="Partial",0.5,IF(F27="Fail",0,0)))</f>
        <v/>
      </c>
      <c r="H27" s="34" t="inlineStr">
        <is>
          <t>Screen titles are descriptive ('Transact', 'Send to your own Equity account', 'Please select the recipient's bank', 'e-Kash limit').</t>
        </is>
      </c>
      <c r="I27" s="23" t="inlineStr">
        <is>
          <t>-</t>
        </is>
      </c>
      <c r="J27" s="15">
        <f>E27*G27</f>
        <v/>
      </c>
      <c r="K27" s="39" t="inlineStr">
        <is>
          <t>'Web page' -&gt; 'screen/view'; each screen and section needs a descriptive, programmatically exposed title/heading.</t>
        </is>
      </c>
      <c r="L27" s="15">
        <f>IF(OR(F27="Pass",F27="Partial",F27="Fail"),1,0)</f>
        <v/>
      </c>
      <c r="M27" s="53" t="inlineStr">
        <is>
          <t>No action needed on current evidence.</t>
        </is>
      </c>
    </row>
    <row r="28" ht="15.75" customHeight="1" s="78">
      <c r="A28" s="29" t="inlineStr">
        <is>
          <t>2.4.7</t>
        </is>
      </c>
      <c r="B28" s="25" t="inlineStr">
        <is>
          <t>Focus Visible</t>
        </is>
      </c>
      <c r="C28" s="48" t="inlineStr">
        <is>
          <t>AA</t>
        </is>
      </c>
      <c r="D28" s="29" t="inlineStr">
        <is>
          <t>Operable</t>
        </is>
      </c>
      <c r="E28" s="42" t="n">
        <v>1</v>
      </c>
      <c r="F28" s="50" t="inlineStr">
        <is>
          <t>Not Tested</t>
        </is>
      </c>
      <c r="G28" s="29">
        <f>IF(F28="Pass",1,IF(F28="Partial",0.5,IF(F28="Fail",0,0)))</f>
        <v/>
      </c>
      <c r="H28" s="45" t="inlineStr">
        <is>
          <t>Requires manual keyboard/switch focus-indicator testing.</t>
        </is>
      </c>
      <c r="I28" s="42" t="inlineStr">
        <is>
          <t>-</t>
        </is>
      </c>
      <c r="J28" s="29">
        <f>E28*G28</f>
        <v/>
      </c>
      <c r="K28" s="46" t="inlineStr">
        <is>
          <t>Applies where the platform supports a visible focus indicator (external keyboard, Switch Access, D-pad); not exercised by pure touch/screen-reader use, so needs manual testing on the relevant input mode.</t>
        </is>
      </c>
      <c r="L28" s="29">
        <f>IF(OR(F28="Pass",F28="Partial",F28="Fail"),1,0)</f>
        <v/>
      </c>
      <c r="M28" s="57" t="inlineStr">
        <is>
          <t>No fix to prescribe yet - conduct the manual test first to confirm actual status.</t>
        </is>
      </c>
    </row>
    <row r="29" ht="15.75" customHeight="1" s="78">
      <c r="A29" s="15" t="inlineStr">
        <is>
          <t>2.5.8</t>
        </is>
      </c>
      <c r="B29" s="11" t="inlineStr">
        <is>
          <t>Target Size (Minimum, 24x24px)</t>
        </is>
      </c>
      <c r="C29" s="48" t="inlineStr">
        <is>
          <t>AA</t>
        </is>
      </c>
      <c r="D29" s="15" t="inlineStr">
        <is>
          <t>Operable</t>
        </is>
      </c>
      <c r="E29" s="23" t="n">
        <v>2</v>
      </c>
      <c r="F29" s="43" t="inlineStr">
        <is>
          <t>Partial</t>
        </is>
      </c>
      <c r="G29" s="15">
        <f>IF(F29="Pass",1,IF(F29="Partial",0.5,IF(F29="Fail",0,0)))</f>
        <v/>
      </c>
      <c r="H29" s="34" t="inlineStr">
        <is>
          <t>45 targets flagged. 2 are below the 24dp WCAG floor: the 'Show balance' text (18dp) and the send-sheet close X. The rest are 24-43dp.</t>
        </is>
      </c>
      <c r="I29" s="23" t="n">
        <v>45</v>
      </c>
      <c r="J29" s="15">
        <f>E29*G29</f>
        <v/>
      </c>
      <c r="K29" s="39" t="inlineStr">
        <is>
          <t>Applies as written to native touch targets; note platform guidance (Android 48dp, Apple 44pt) is stricter than WCAG's own 24px floor - both are reported here.</t>
        </is>
      </c>
      <c r="L29" s="15">
        <f>IF(OR(F29="Pass",F29="Partial",F29="Fail"),1,0)</f>
        <v/>
      </c>
      <c r="M29" s="62" t="inlineStr">
        <is>
          <t>Enlarge the 'Show balance' toggle and the send-sheet close X past 24dp (ideally 48dp).</t>
        </is>
      </c>
    </row>
    <row r="30" ht="15.75" customHeight="1" s="78">
      <c r="A30" s="29" t="inlineStr">
        <is>
          <t>3.2.4</t>
        </is>
      </c>
      <c r="B30" s="25" t="inlineStr">
        <is>
          <t>Consistent Identification</t>
        </is>
      </c>
      <c r="C30" s="48" t="inlineStr">
        <is>
          <t>AA</t>
        </is>
      </c>
      <c r="D30" s="29" t="inlineStr">
        <is>
          <t>Understandable</t>
        </is>
      </c>
      <c r="E30" s="42" t="n">
        <v>0</v>
      </c>
      <c r="F30" s="65" t="inlineStr">
        <is>
          <t>N/A</t>
        </is>
      </c>
      <c r="G30" s="29">
        <f>IF(F30="Pass",1,IF(F30="Partial",0.5,IF(F30="Fail",0,0)))</f>
        <v/>
      </c>
      <c r="H30" s="45" t="inlineStr">
        <is>
          <t>Excluded per Section 508 and EN 301 549, which both state (building on WCAG2ICT) that this criterion does not apply to non-web software. Retained here as a visible N/A rather than silently dropped.</t>
        </is>
      </c>
      <c r="I30" s="42" t="inlineStr">
        <is>
          <t>-</t>
        </is>
      </c>
      <c r="J30" s="29">
        <f>E30*G30</f>
        <v/>
      </c>
      <c r="K30" s="46" t="inlineStr">
        <is>
          <t>Explicitly excluded for non-web software by Section 508 and EN 301 549 - not scored.</t>
        </is>
      </c>
      <c r="L30" s="29">
        <f>IF(OR(F30="Pass",F30="Partial",F30="Fail"),1,0)</f>
        <v/>
      </c>
      <c r="M30" s="57" t="inlineStr">
        <is>
          <t>Not applicable - excluded for non-web software.</t>
        </is>
      </c>
    </row>
    <row r="31" ht="15.75" customHeight="1" s="78">
      <c r="A31" s="15" t="inlineStr">
        <is>
          <t>3.3.3</t>
        </is>
      </c>
      <c r="B31" s="11" t="inlineStr">
        <is>
          <t>Error Suggestion</t>
        </is>
      </c>
      <c r="C31" s="48" t="inlineStr">
        <is>
          <t>AA</t>
        </is>
      </c>
      <c r="D31" s="15" t="inlineStr">
        <is>
          <t>Understandable</t>
        </is>
      </c>
      <c r="E31" s="23" t="n">
        <v>1</v>
      </c>
      <c r="F31" s="50" t="inlineStr">
        <is>
          <t>Not Tested</t>
        </is>
      </c>
      <c r="G31" s="15">
        <f>IF(F31="Pass",1,IF(F31="Partial",0.5,IF(F31="Fail",0,0)))</f>
        <v/>
      </c>
      <c r="H31" s="34" t="inlineStr">
        <is>
          <t>Requires manual review of validation-message wording and exposure.</t>
        </is>
      </c>
      <c r="I31" s="23" t="inlineStr">
        <is>
          <t>-</t>
        </is>
      </c>
      <c r="J31" s="15">
        <f>E31*G31</f>
        <v/>
      </c>
      <c r="K31" s="39" t="inlineStr">
        <is>
          <t>Applies as written.</t>
        </is>
      </c>
      <c r="L31" s="15">
        <f>IF(OR(F31="Pass",F31="Partial",F31="Fail"),1,0)</f>
        <v/>
      </c>
      <c r="M31" s="53" t="inlineStr">
        <is>
          <t>No fix to prescribe yet - conduct the manual test first to confirm actual status.</t>
        </is>
      </c>
    </row>
    <row r="32" ht="15.75" customHeight="1" s="78">
      <c r="A32" s="29" t="inlineStr">
        <is>
          <t>3.3.4</t>
        </is>
      </c>
      <c r="B32" s="25" t="inlineStr">
        <is>
          <t>Error Prevention (Legal, Financial, Data)</t>
        </is>
      </c>
      <c r="C32" s="48" t="inlineStr">
        <is>
          <t>AA</t>
        </is>
      </c>
      <c r="D32" s="29" t="inlineStr">
        <is>
          <t>Understandable</t>
        </is>
      </c>
      <c r="E32" s="42" t="n">
        <v>3</v>
      </c>
      <c r="F32" s="43" t="inlineStr">
        <is>
          <t>Not Tested</t>
        </is>
      </c>
      <c r="G32" s="29">
        <f>IF(F32="Pass",1,IF(F32="Partial",0.5,IF(F32="Fail",0,0)))</f>
        <v/>
      </c>
      <c r="H32" s="45" t="inlineStr">
        <is>
          <t>No review / confirm or success screen was captured. The e-Kash limit dialog (20) offers an explicit choice before continuing, which is a positive sign.</t>
        </is>
      </c>
      <c r="I32" s="42" t="inlineStr">
        <is>
          <t>-</t>
        </is>
      </c>
      <c r="J32" s="29">
        <f>E32*G32</f>
        <v/>
      </c>
      <c r="K32" s="46" t="inlineStr">
        <is>
          <t>Applies as written and is squarely about transactions ('legal commitments, financial transactions'); directly relevant to this app's core function.</t>
        </is>
      </c>
      <c r="L32" s="29">
        <f>IF(OR(F32="Pass",F32="Partial",F32="Fail"),1,0)</f>
        <v/>
      </c>
      <c r="M32" s="47" t="inlineStr">
        <is>
          <t>No fix to prescribe yet - complete a transfer with TalkBack on and assess the review step.</t>
        </is>
      </c>
    </row>
    <row r="33" ht="15.75" customHeight="1" s="78">
      <c r="A33" s="15" t="inlineStr">
        <is>
          <t>3.3.7</t>
        </is>
      </c>
      <c r="B33" s="11" t="inlineStr">
        <is>
          <t>Accessible Authentication (Minimum)</t>
        </is>
      </c>
      <c r="C33" s="48" t="inlineStr">
        <is>
          <t>AA</t>
        </is>
      </c>
      <c r="D33" s="15" t="inlineStr">
        <is>
          <t>Understandable</t>
        </is>
      </c>
      <c r="E33" s="23" t="n">
        <v>3</v>
      </c>
      <c r="F33" s="26" t="inlineStr">
        <is>
          <t>Pass</t>
        </is>
      </c>
      <c r="G33" s="15">
        <f>IF(F33="Pass",1,IF(F33="Partial",0.5,IF(F33="Fail",0,0)))</f>
        <v/>
      </c>
      <c r="H33" s="34" t="inlineStr">
        <is>
          <t>Password login offers 'Sign in with Touch ID' as a biometric alternative (1, 2). The password field has show / hide and 'Forgot your password?'.</t>
        </is>
      </c>
      <c r="I33" s="23" t="inlineStr">
        <is>
          <t>-</t>
        </is>
      </c>
      <c r="J33" s="15">
        <f>E33*G33</f>
        <v/>
      </c>
      <c r="K33" s="39" t="inlineStr">
        <is>
          <t>Applies as written; added in WCAG 2.2 with no web-specific terms to reinterpret.</t>
        </is>
      </c>
      <c r="L33" s="15">
        <f>IF(OR(F33="Pass",F33="Partial",F33="Fail"),1,0)</f>
        <v/>
      </c>
      <c r="M33" s="41" t="inlineStr">
        <is>
          <t>No action needed on current evidence. Still confirm with TalkBack that the Touch ID option is labelled and reachable.</t>
        </is>
      </c>
    </row>
    <row r="34" ht="15.75" customHeight="1" s="78">
      <c r="A34" s="29" t="inlineStr">
        <is>
          <t>4.1.3</t>
        </is>
      </c>
      <c r="B34" s="25" t="inlineStr">
        <is>
          <t>Status Messages</t>
        </is>
      </c>
      <c r="C34" s="48" t="inlineStr">
        <is>
          <t>AA</t>
        </is>
      </c>
      <c r="D34" s="29" t="inlineStr">
        <is>
          <t>Robust</t>
        </is>
      </c>
      <c r="E34" s="42" t="n">
        <v>3</v>
      </c>
      <c r="F34" s="50" t="inlineStr">
        <is>
          <t>Not Tested</t>
        </is>
      </c>
      <c r="G34" s="29">
        <f>IF(F34="Pass",1,IF(F34="Partial",0.5,IF(F34="Fail",0,0)))</f>
        <v/>
      </c>
      <c r="H34" s="45" t="inlineStr">
        <is>
          <t>Requires manual testing of transaction success/failure toast announcements.</t>
        </is>
      </c>
      <c r="I34" s="42" t="inlineStr">
        <is>
          <t>-</t>
        </is>
      </c>
      <c r="J34" s="29">
        <f>E34*G34</f>
        <v/>
      </c>
      <c r="K34" s="46" t="inlineStr">
        <is>
          <t>'Programmatically determined through role or properties' -&gt; exposed via the accessibility API's live-region/announcement mechanism (e.g. Android AccessibilityEvent) so a status change is spoken without moving focus.</t>
        </is>
      </c>
      <c r="L34" s="29">
        <f>IF(OR(F34="Pass",F34="Partial",F34="Fail"),1,0)</f>
        <v/>
      </c>
      <c r="M34" s="57" t="inlineStr">
        <is>
          <t>No fix to prescribe yet - conduct the manual test first to confirm actual status.</t>
        </is>
      </c>
    </row>
    <row r="35" ht="15.75" customHeight="1" s="78">
      <c r="A35" s="15" t="inlineStr">
        <is>
          <t>2.2.1</t>
        </is>
      </c>
      <c r="B35" s="11" t="inlineStr">
        <is>
          <t>Timing Adjustable</t>
        </is>
      </c>
      <c r="C35" s="13" t="inlineStr">
        <is>
          <t>A</t>
        </is>
      </c>
      <c r="D35" s="15" t="inlineStr">
        <is>
          <t>Operable</t>
        </is>
      </c>
      <c r="E35" s="23" t="n">
        <v>3</v>
      </c>
      <c r="F35" s="50" t="inlineStr">
        <is>
          <t>Not Tested</t>
        </is>
      </c>
      <c r="G35" s="15">
        <f>IF(F35="Pass",1,IF(F35="Partial",0.5,IF(F35="Fail",0,0)))</f>
        <v/>
      </c>
      <c r="H35" s="34" t="inlineStr">
        <is>
          <t>Requires manual test: can a screen-reader user extend/disable any time limit on OTP entry, session timeout, or transfer confirmation?</t>
        </is>
      </c>
      <c r="I35" s="23" t="inlineStr">
        <is>
          <t>-</t>
        </is>
      </c>
      <c r="J35" s="15">
        <f>E35*G35</f>
        <v/>
      </c>
      <c r="K35" s="39" t="inlineStr">
        <is>
          <t>Applies as written; particularly relevant to native software session timeouts and OTP countdown timers.</t>
        </is>
      </c>
      <c r="L35" s="15">
        <f>IF(OR(F35="Pass",F35="Partial",F35="Fail"),1,0)</f>
        <v/>
      </c>
      <c r="M35" s="53" t="inlineStr">
        <is>
          <t>No fix to prescribe yet - conduct the manual test first to confirm actual status.</t>
        </is>
      </c>
    </row>
    <row r="36" ht="15.75" customHeight="1" s="78">
      <c r="A36" s="29" t="inlineStr">
        <is>
          <t>2.2.6</t>
        </is>
      </c>
      <c r="B36" s="25" t="inlineStr">
        <is>
          <t>Timeouts (warn of data loss)</t>
        </is>
      </c>
      <c r="C36" s="50" t="inlineStr">
        <is>
          <t>AAA</t>
        </is>
      </c>
      <c r="D36" s="29" t="inlineStr">
        <is>
          <t>Operable</t>
        </is>
      </c>
      <c r="E36" s="42" t="n">
        <v>1</v>
      </c>
      <c r="F36" s="50" t="inlineStr">
        <is>
          <t>Not Tested</t>
        </is>
      </c>
      <c r="G36" s="29">
        <f>IF(F36="Pass",1,IF(F36="Partial",0.5,IF(F36="Fail",0,0)))</f>
        <v/>
      </c>
      <c r="H36" s="45" t="inlineStr">
        <is>
          <t>Requires manual test: is the user warned before a timed-out session discards an in-progress transaction?</t>
        </is>
      </c>
      <c r="I36" s="42" t="inlineStr">
        <is>
          <t>-</t>
        </is>
      </c>
      <c r="J36" s="29">
        <f>E36*G36</f>
        <v/>
      </c>
      <c r="K36" s="46" t="inlineStr">
        <is>
          <t>Applies as written.</t>
        </is>
      </c>
      <c r="L36" s="29">
        <f>IF(OR(F36="Pass",F36="Partial",F36="Fail"),1,0)</f>
        <v/>
      </c>
      <c r="M36" s="57" t="inlineStr">
        <is>
          <t>No fix to prescribe yet - conduct the manual test first to confirm actual status.</t>
        </is>
      </c>
    </row>
    <row r="37" ht="15.75" customHeight="1" s="78">
      <c r="A37" s="15" t="inlineStr">
        <is>
          <t>2.5.5</t>
        </is>
      </c>
      <c r="B37" s="11" t="inlineStr">
        <is>
          <t>Target Size (Enhanced, 44x44px)</t>
        </is>
      </c>
      <c r="C37" s="50" t="inlineStr">
        <is>
          <t>AAA</t>
        </is>
      </c>
      <c r="D37" s="15" t="inlineStr">
        <is>
          <t>Operable</t>
        </is>
      </c>
      <c r="E37" s="23" t="n">
        <v>1</v>
      </c>
      <c r="F37" s="26" t="inlineStr">
        <is>
          <t>Fail</t>
        </is>
      </c>
      <c r="G37" s="15">
        <f>IF(F37="Pass",1,IF(F37="Partial",0.5,IF(F37="Fail",0,0)))</f>
        <v/>
      </c>
      <c r="H37" s="34" t="inlineStr">
        <is>
          <t>All 45 flagged targets are below 44dp (icons and close buttons 24-32dp, dropdowns and bottom nav 41-43dp).</t>
        </is>
      </c>
      <c r="I37" s="23" t="n">
        <v>45</v>
      </c>
      <c r="J37" s="15">
        <f>E37*G37</f>
        <v/>
      </c>
      <c r="K37" s="39" t="inlineStr">
        <is>
          <t>Applies as written to native touch targets.</t>
        </is>
      </c>
      <c r="L37" s="15">
        <f>IF(OR(F37="Pass",F37="Partial",F37="Fail"),1,0)</f>
        <v/>
      </c>
      <c r="M37" s="41" t="inlineStr">
        <is>
          <t>Bring back / close, header icons and dropdowns to 44-48dp.</t>
        </is>
      </c>
    </row>
    <row r="38" ht="15.75" customHeight="1" s="78">
      <c r="A38" s="29" t="inlineStr">
        <is>
          <t>3.3.6</t>
        </is>
      </c>
      <c r="B38" s="25" t="inlineStr">
        <is>
          <t>Error Prevention (All)</t>
        </is>
      </c>
      <c r="C38" s="50" t="inlineStr">
        <is>
          <t>AAA</t>
        </is>
      </c>
      <c r="D38" s="29" t="inlineStr">
        <is>
          <t>Understandable</t>
        </is>
      </c>
      <c r="E38" s="42" t="n">
        <v>1</v>
      </c>
      <c r="F38" s="50" t="inlineStr">
        <is>
          <t>Not Tested</t>
        </is>
      </c>
      <c r="G38" s="29">
        <f>IF(F38="Pass",1,IF(F38="Partial",0.5,IF(F38="Fail",0,0)))</f>
        <v/>
      </c>
      <c r="H38" s="45" t="inlineStr">
        <is>
          <t>Requires manual review across all transactional flows.</t>
        </is>
      </c>
      <c r="I38" s="42" t="inlineStr">
        <is>
          <t>-</t>
        </is>
      </c>
      <c r="J38" s="29">
        <f>E38*G38</f>
        <v/>
      </c>
      <c r="K38" s="46" t="inlineStr">
        <is>
          <t>Applies as written.</t>
        </is>
      </c>
      <c r="L38" s="29">
        <f>IF(OR(F38="Pass",F38="Partial",F38="Fail"),1,0)</f>
        <v/>
      </c>
      <c r="M38" s="57" t="inlineStr">
        <is>
          <t>No fix to prescribe yet - conduct the manual test first to confirm actual status.</t>
        </is>
      </c>
    </row>
    <row r="39" ht="15.75" customHeight="1" s="78">
      <c r="A39" s="15" t="inlineStr">
        <is>
          <t>3.3.8</t>
        </is>
      </c>
      <c r="B39" s="11" t="inlineStr">
        <is>
          <t>Accessible Authentication (Enhanced)</t>
        </is>
      </c>
      <c r="C39" s="50" t="inlineStr">
        <is>
          <t>AAA</t>
        </is>
      </c>
      <c r="D39" s="15" t="inlineStr">
        <is>
          <t>Understandable</t>
        </is>
      </c>
      <c r="E39" s="23" t="n">
        <v>1</v>
      </c>
      <c r="F39" s="26" t="inlineStr">
        <is>
          <t>Pass</t>
        </is>
      </c>
      <c r="G39" s="15">
        <f>IF(F39="Pass",1,IF(F39="Partial",0.5,IF(F39="Fail",0,0)))</f>
        <v/>
      </c>
      <c r="H39" s="34" t="inlineStr">
        <is>
          <t>Biometric sign-in is offered, so a cognitive-function-test-free route exists.</t>
        </is>
      </c>
      <c r="I39" s="23" t="inlineStr">
        <is>
          <t>-</t>
        </is>
      </c>
      <c r="J39" s="15">
        <f>E39*G39</f>
        <v/>
      </c>
      <c r="K39" s="39" t="inlineStr">
        <is>
          <t>Applies as written; added in WCAG 2.2.</t>
        </is>
      </c>
      <c r="L39" s="15">
        <f>IF(OR(F39="Pass",F39="Partial",F39="Fail"),1,0)</f>
        <v/>
      </c>
      <c r="M39" s="41" t="inlineStr">
        <is>
          <t>No action needed on current evidence.</t>
        </is>
      </c>
    </row>
    <row r="40" ht="15.75" customHeight="1" s="78"/>
    <row r="41" ht="15.75" customHeight="1" s="78">
      <c r="A41" s="91" t="inlineStr">
        <is>
          <t>SCORE SUMMARY</t>
        </is>
      </c>
      <c r="B41" s="92" t="n"/>
      <c r="C41" s="92" t="n"/>
      <c r="D41" s="92" t="n"/>
      <c r="E41" s="92" t="n"/>
      <c r="F41" s="93" t="n"/>
    </row>
    <row r="42" ht="15.75" customHeight="1" s="78">
      <c r="A42" s="94" t="inlineStr">
        <is>
          <t>Weighted score achieved (sum)</t>
        </is>
      </c>
      <c r="B42" s="92" t="n"/>
      <c r="C42" s="92" t="n"/>
      <c r="D42" s="93" t="n"/>
      <c r="E42" s="29">
        <f>SUM(J5:J39)</f>
        <v/>
      </c>
      <c r="F42" s="93" t="n"/>
    </row>
    <row r="43" ht="15.75" customHeight="1" s="78">
      <c r="A43" s="94" t="inlineStr">
        <is>
          <t>Weighted score possible (tested criteria only)</t>
        </is>
      </c>
      <c r="B43" s="92" t="n"/>
      <c r="C43" s="92" t="n"/>
      <c r="D43" s="93" t="n"/>
      <c r="E43" s="29">
        <f>SUMPRODUCT(L5:L39*E5:E39)</f>
        <v/>
      </c>
      <c r="F43" s="93" t="n"/>
    </row>
    <row r="44" ht="15.75" customHeight="1" s="78">
      <c r="A44" s="95" t="inlineStr">
        <is>
          <t>OVERALL ACCESSIBILITY SCORE (0-100)</t>
        </is>
      </c>
      <c r="B44" s="92" t="n"/>
      <c r="C44" s="92" t="n"/>
      <c r="D44" s="93" t="n"/>
      <c r="E44" s="96">
        <f>IFERROR(E42/E43*100,0)</f>
        <v/>
      </c>
      <c r="F44" s="93" t="n"/>
    </row>
    <row r="45" ht="15.75" customHeight="1" s="78">
      <c r="A45" s="94" t="inlineStr">
        <is>
          <t>Level A conformance %</t>
        </is>
      </c>
      <c r="B45" s="92" t="n"/>
      <c r="C45" s="92" t="n"/>
      <c r="D45" s="93" t="n"/>
      <c r="E45" s="97">
        <f>IFERROR(SUMPRODUCT((C5:C39="A")*L5:L39*J5:J39)/SUMPRODUCT((C5:C39="A")*L5:L39*E5:E39)*100,0)</f>
        <v/>
      </c>
      <c r="F45" s="93" t="n"/>
    </row>
    <row r="46" ht="15.75" customHeight="1" s="78">
      <c r="A46" s="94" t="inlineStr">
        <is>
          <t>Level AA conformance % (A+AA criteria)</t>
        </is>
      </c>
      <c r="B46" s="92" t="n"/>
      <c r="C46" s="92" t="n"/>
      <c r="D46" s="93" t="n"/>
      <c r="E46" s="97">
        <f>IFERROR(SUMPRODUCT(((C5:C39="A")+(C5:C39="AA"))*L5:L39*J5:J39)/SUMPRODUCT(((C5:C39="A")+(C5:C39="AA"))*L5:L39*E5:E39)*100,0)</f>
        <v/>
      </c>
      <c r="F46" s="93" t="n"/>
    </row>
    <row r="47" ht="15.75" customHeight="1" s="78">
      <c r="A47" s="94" t="inlineStr">
        <is>
          <t>Criteria rated Fail (count)</t>
        </is>
      </c>
      <c r="B47" s="92" t="n"/>
      <c r="C47" s="92" t="n"/>
      <c r="D47" s="93" t="n"/>
      <c r="E47" s="29">
        <f>COUNTIF(F5:F39,"Fail")</f>
        <v/>
      </c>
      <c r="F47" s="93" t="n"/>
    </row>
    <row r="48" ht="15.75" customHeight="1" s="78">
      <c r="A48" s="94" t="inlineStr">
        <is>
          <t>Criteria rated Not Tested / N/A (count, need manual audit)</t>
        </is>
      </c>
      <c r="B48" s="92" t="n"/>
      <c r="C48" s="92" t="n"/>
      <c r="D48" s="93" t="n"/>
      <c r="E48" s="29">
        <f>COUNTIF(F5:F39,"Not Tested")+COUNTIF(F5:F39,"N/A")</f>
        <v/>
      </c>
      <c r="F48" s="93" t="n"/>
    </row>
    <row r="49" ht="15.75" customHeight="1" s="78">
      <c r="A49" s="95" t="inlineStr">
        <is>
          <t>Rating band</t>
        </is>
      </c>
      <c r="B49" s="92" t="n"/>
      <c r="C49" s="92" t="n"/>
      <c r="D49" s="93" t="n"/>
      <c r="E49" s="22">
        <f>IF(E44&gt;=90,"Level AA-aligned",IF(E44&gt;=75,"Substantially accessible",IF(E44&gt;=50,"Partially accessible - significant barriers",IF(E44&gt;=25,"Largely inaccessible","Inaccessible / excludes blind users"))))</f>
        <v/>
      </c>
      <c r="F49" s="93" t="n"/>
    </row>
    <row r="50" ht="15.75" customHeight="1" s="78"/>
    <row r="51" ht="15.75" customHeight="1" s="78"/>
    <row r="52" ht="15.75" customHeight="1" s="78"/>
    <row r="53" ht="15.75" customHeight="1" s="78"/>
    <row r="54" ht="15.75" customHeight="1" s="78"/>
    <row r="55" ht="15.75" customHeight="1" s="78"/>
    <row r="56" ht="15.75" customHeight="1" s="78"/>
    <row r="57" ht="15.75" customHeight="1" s="78"/>
    <row r="58" ht="15.75" customHeight="1" s="78"/>
    <row r="59" ht="15.75" customHeight="1" s="78"/>
    <row r="60" ht="15.75" customHeight="1" s="78"/>
    <row r="61" ht="15.75" customHeight="1" s="78"/>
    <row r="62" ht="15.75" customHeight="1" s="78"/>
    <row r="63" ht="15.75" customHeight="1" s="78"/>
    <row r="64" ht="15.75" customHeight="1" s="78"/>
    <row r="65" ht="15.75" customHeight="1" s="78"/>
    <row r="66" ht="15.75" customHeight="1" s="78"/>
    <row r="67" ht="15.75" customHeight="1" s="78"/>
    <row r="68" ht="15.75" customHeight="1" s="78"/>
    <row r="69" ht="15.75" customHeight="1" s="78"/>
    <row r="70" ht="15.75" customHeight="1" s="78"/>
    <row r="71" ht="15.75" customHeight="1" s="78"/>
    <row r="72" ht="15.75" customHeight="1" s="78"/>
    <row r="73" ht="15.75" customHeight="1" s="78"/>
    <row r="74" ht="15.75" customHeight="1" s="78"/>
    <row r="75" ht="15.75" customHeight="1" s="78"/>
    <row r="76" ht="15.75" customHeight="1" s="78"/>
    <row r="77" ht="15.75" customHeight="1" s="78"/>
    <row r="78" ht="15.75" customHeight="1" s="78"/>
    <row r="79" ht="15.75" customHeight="1" s="78"/>
    <row r="80" ht="15.75" customHeight="1" s="78"/>
    <row r="81" ht="15.75" customHeight="1" s="78"/>
    <row r="82" ht="15.75" customHeight="1" s="78"/>
    <row r="83" ht="15.75" customHeight="1" s="78"/>
    <row r="84" ht="15.75" customHeight="1" s="78"/>
    <row r="85" ht="15.75" customHeight="1" s="78"/>
    <row r="86" ht="15.75" customHeight="1" s="78"/>
    <row r="87" ht="15.75" customHeight="1" s="78"/>
    <row r="88" ht="15.75" customHeight="1" s="78"/>
    <row r="89" ht="15.75" customHeight="1" s="78"/>
    <row r="90" ht="15.75" customHeight="1" s="78"/>
    <row r="91" ht="15.75" customHeight="1" s="78"/>
    <row r="92" ht="15.75" customHeight="1" s="78"/>
    <row r="93" ht="15.75" customHeight="1" s="78"/>
    <row r="94" ht="15.75" customHeight="1" s="78"/>
    <row r="95" ht="15.75" customHeight="1" s="78"/>
    <row r="96" ht="15.75" customHeight="1" s="78"/>
    <row r="97" ht="15.75" customHeight="1" s="78"/>
    <row r="98" ht="15.75" customHeight="1" s="78"/>
    <row r="99" ht="15.75" customHeight="1" s="78"/>
    <row r="100" ht="15.75" customHeight="1" s="78"/>
    <row r="101" ht="15.75" customHeight="1" s="78"/>
    <row r="102" ht="15.75" customHeight="1" s="78"/>
    <row r="103" ht="15.75" customHeight="1" s="78"/>
    <row r="104" ht="15.75" customHeight="1" s="78"/>
    <row r="105" ht="15.75" customHeight="1" s="78"/>
    <row r="106" ht="15.75" customHeight="1" s="78"/>
    <row r="107" ht="15.75" customHeight="1" s="78"/>
    <row r="108" ht="15.75" customHeight="1" s="78"/>
    <row r="109" ht="15.75" customHeight="1" s="78"/>
    <row r="110" ht="15.75" customHeight="1" s="78"/>
    <row r="111" ht="15.75" customHeight="1" s="78"/>
    <row r="112" ht="15.75" customHeight="1" s="78"/>
    <row r="113" ht="15.75" customHeight="1" s="78"/>
    <row r="114" ht="15.75" customHeight="1" s="78"/>
    <row r="115" ht="15.75" customHeight="1" s="78"/>
    <row r="116" ht="15.75" customHeight="1" s="78"/>
    <row r="117" ht="15.75" customHeight="1" s="78"/>
    <row r="118" ht="15.75" customHeight="1" s="78"/>
    <row r="119" ht="15.75" customHeight="1" s="78"/>
    <row r="120" ht="15.75" customHeight="1" s="78"/>
    <row r="121" ht="15.75" customHeight="1" s="78"/>
    <row r="122" ht="15.75" customHeight="1" s="78"/>
    <row r="123" ht="15.75" customHeight="1" s="78"/>
    <row r="124" ht="15.75" customHeight="1" s="78"/>
    <row r="125" ht="15.75" customHeight="1" s="78"/>
    <row r="126" ht="15.75" customHeight="1" s="78"/>
    <row r="127" ht="15.75" customHeight="1" s="78"/>
    <row r="128" ht="15.75" customHeight="1" s="78"/>
    <row r="129" ht="15.75" customHeight="1" s="78"/>
    <row r="130" ht="15.75" customHeight="1" s="78"/>
    <row r="131" ht="15.75" customHeight="1" s="78"/>
    <row r="132" ht="15.75" customHeight="1" s="78"/>
    <row r="133" ht="15.75" customHeight="1" s="78"/>
    <row r="134" ht="15.75" customHeight="1" s="78"/>
    <row r="135" ht="15.75" customHeight="1" s="78"/>
    <row r="136" ht="15.75" customHeight="1" s="78"/>
    <row r="137" ht="15.75" customHeight="1" s="78"/>
    <row r="138" ht="15.75" customHeight="1" s="78"/>
    <row r="139" ht="15.75" customHeight="1" s="78"/>
    <row r="140" ht="15.75" customHeight="1" s="78"/>
    <row r="141" ht="15.75" customHeight="1" s="78"/>
    <row r="142" ht="15.75" customHeight="1" s="78"/>
    <row r="143" ht="15.75" customHeight="1" s="78"/>
    <row r="144" ht="15.75" customHeight="1" s="78"/>
    <row r="145" ht="15.75" customHeight="1" s="78"/>
    <row r="146" ht="15.75" customHeight="1" s="78"/>
    <row r="147" ht="15.75" customHeight="1" s="78"/>
    <row r="148" ht="15.75" customHeight="1" s="78"/>
    <row r="149" ht="15.75" customHeight="1" s="78"/>
    <row r="150" ht="15.75" customHeight="1" s="78"/>
    <row r="151" ht="15.75" customHeight="1" s="78"/>
    <row r="152" ht="15.75" customHeight="1" s="78"/>
    <row r="153" ht="15.75" customHeight="1" s="78"/>
    <row r="154" ht="15.75" customHeight="1" s="78"/>
    <row r="155" ht="15.75" customHeight="1" s="78"/>
    <row r="156" ht="15.75" customHeight="1" s="78"/>
    <row r="157" ht="15.75" customHeight="1" s="78"/>
    <row r="158" ht="15.75" customHeight="1" s="78"/>
    <row r="159" ht="15.75" customHeight="1" s="78"/>
    <row r="160" ht="15.75" customHeight="1" s="78"/>
    <row r="161" ht="15.75" customHeight="1" s="78"/>
    <row r="162" ht="15.75" customHeight="1" s="78"/>
    <row r="163" ht="15.75" customHeight="1" s="78"/>
    <row r="164" ht="15.75" customHeight="1" s="78"/>
    <row r="165" ht="15.75" customHeight="1" s="78"/>
    <row r="166" ht="15.75" customHeight="1" s="78"/>
    <row r="167" ht="15.75" customHeight="1" s="78"/>
    <row r="168" ht="15.75" customHeight="1" s="78"/>
    <row r="169" ht="15.75" customHeight="1" s="78"/>
    <row r="170" ht="15.75" customHeight="1" s="78"/>
    <row r="171" ht="15.75" customHeight="1" s="78"/>
    <row r="172" ht="15.75" customHeight="1" s="78"/>
    <row r="173" ht="15.75" customHeight="1" s="78"/>
    <row r="174" ht="15.75" customHeight="1" s="78"/>
    <row r="175" ht="15.75" customHeight="1" s="78"/>
    <row r="176" ht="15.75" customHeight="1" s="78"/>
    <row r="177" ht="15.75" customHeight="1" s="78"/>
    <row r="178" ht="15.75" customHeight="1" s="78"/>
    <row r="179" ht="15.75" customHeight="1" s="78"/>
    <row r="180" ht="15.75" customHeight="1" s="78"/>
    <row r="181" ht="15.75" customHeight="1" s="78"/>
    <row r="182" ht="15.75" customHeight="1" s="78"/>
    <row r="183" ht="15.75" customHeight="1" s="78"/>
    <row r="184" ht="15.75" customHeight="1" s="78"/>
    <row r="185" ht="15.75" customHeight="1" s="78"/>
    <row r="186" ht="15.75" customHeight="1" s="78"/>
    <row r="187" ht="15.75" customHeight="1" s="78"/>
    <row r="188" ht="15.75" customHeight="1" s="78"/>
    <row r="189" ht="15.75" customHeight="1" s="78"/>
    <row r="190" ht="15.75" customHeight="1" s="78"/>
    <row r="191" ht="15.75" customHeight="1" s="78"/>
    <row r="192" ht="15.75" customHeight="1" s="78"/>
    <row r="193" ht="15.75" customHeight="1" s="78"/>
    <row r="194" ht="15.75" customHeight="1" s="78"/>
    <row r="195" ht="15.75" customHeight="1" s="78"/>
    <row r="196" ht="15.75" customHeight="1" s="78"/>
    <row r="197" ht="15.75" customHeight="1" s="78"/>
    <row r="198" ht="15.75" customHeight="1" s="78"/>
    <row r="199" ht="15.75" customHeight="1" s="78"/>
    <row r="200" ht="15.75" customHeight="1" s="78"/>
    <row r="201" ht="15.75" customHeight="1" s="78"/>
    <row r="202" ht="15.75" customHeight="1" s="78"/>
    <row r="203" ht="15.75" customHeight="1" s="78"/>
    <row r="204" ht="15.75" customHeight="1" s="78"/>
    <row r="205" ht="15.75" customHeight="1" s="78"/>
    <row r="206" ht="15.75" customHeight="1" s="78"/>
    <row r="207" ht="15.75" customHeight="1" s="78"/>
    <row r="208" ht="15.75" customHeight="1" s="78"/>
    <row r="209" ht="15.75" customHeight="1" s="78"/>
    <row r="210" ht="15.75" customHeight="1" s="78"/>
    <row r="211" ht="15.75" customHeight="1" s="78"/>
    <row r="212" ht="15.75" customHeight="1" s="78"/>
    <row r="213" ht="15.75" customHeight="1" s="78"/>
    <row r="214" ht="15.75" customHeight="1" s="78"/>
    <row r="215" ht="15.75" customHeight="1" s="78"/>
    <row r="216" ht="15.75" customHeight="1" s="78"/>
    <row r="217" ht="15.75" customHeight="1" s="78"/>
    <row r="218" ht="15.75" customHeight="1" s="78"/>
    <row r="219" ht="15.75" customHeight="1" s="78"/>
    <row r="220" ht="15.75" customHeight="1" s="78"/>
    <row r="221" ht="15.75" customHeight="1" s="78"/>
    <row r="222" ht="15.75" customHeight="1" s="78"/>
    <row r="223" ht="15.75" customHeight="1" s="78"/>
    <row r="224" ht="15.75" customHeight="1" s="78"/>
    <row r="225" ht="15.75" customHeight="1" s="78"/>
    <row r="226" ht="15.75" customHeight="1" s="78"/>
    <row r="227" ht="15.75" customHeight="1" s="78"/>
    <row r="228" ht="15.75" customHeight="1" s="78"/>
    <row r="229" ht="15.75" customHeight="1" s="78"/>
    <row r="230" ht="15.75" customHeight="1" s="78"/>
    <row r="231" ht="15.75" customHeight="1" s="78"/>
    <row r="232" ht="15.75" customHeight="1" s="78"/>
    <row r="233" ht="15.75" customHeight="1" s="78"/>
    <row r="234" ht="15.75" customHeight="1" s="78"/>
    <row r="235" ht="15.75" customHeight="1" s="78"/>
    <row r="236" ht="15.75" customHeight="1" s="78"/>
    <row r="237" ht="15.75" customHeight="1" s="78"/>
    <row r="238" ht="15.75" customHeight="1" s="78"/>
    <row r="239" ht="15.75" customHeight="1" s="78"/>
    <row r="240" ht="15.75" customHeight="1" s="78"/>
    <row r="241" ht="15.75" customHeight="1" s="78"/>
    <row r="242" ht="15.75" customHeight="1" s="78"/>
    <row r="243" ht="15.75" customHeight="1" s="78"/>
    <row r="244" ht="15.75" customHeight="1" s="78"/>
    <row r="245" ht="15.75" customHeight="1" s="78"/>
    <row r="246" ht="15.75" customHeight="1" s="78"/>
    <row r="247" ht="15.75" customHeight="1" s="78"/>
    <row r="248" ht="15.75" customHeight="1" s="78"/>
    <row r="249" ht="15.75" customHeight="1" s="78"/>
    <row r="250" ht="15.75" customHeight="1" s="78"/>
    <row r="251" ht="15.75" customHeight="1" s="78"/>
    <row r="252" ht="15.75" customHeight="1" s="78"/>
    <row r="253" ht="15.75" customHeight="1" s="78"/>
    <row r="254" ht="15.75" customHeight="1" s="78"/>
    <row r="255" ht="15.75" customHeight="1" s="78"/>
    <row r="256" ht="15.75" customHeight="1" s="78"/>
    <row r="257" ht="15.75" customHeight="1" s="78"/>
    <row r="258" ht="15.75" customHeight="1" s="78"/>
    <row r="259" ht="15.75" customHeight="1" s="78"/>
    <row r="260" ht="15.75" customHeight="1" s="78"/>
    <row r="261" ht="15.75" customHeight="1" s="78"/>
    <row r="262" ht="15.75" customHeight="1" s="78"/>
    <row r="263" ht="15.75" customHeight="1" s="78"/>
    <row r="264" ht="15.75" customHeight="1" s="78"/>
    <row r="265" ht="15.75" customHeight="1" s="78"/>
    <row r="266" ht="15.75" customHeight="1" s="78"/>
    <row r="267" ht="15.75" customHeight="1" s="78"/>
    <row r="268" ht="15.75" customHeight="1" s="78"/>
    <row r="269" ht="15.75" customHeight="1" s="78"/>
    <row r="270" ht="15.75" customHeight="1" s="78"/>
    <row r="271" ht="15.75" customHeight="1" s="78"/>
    <row r="272" ht="15.75" customHeight="1" s="78"/>
    <row r="273" ht="15.75" customHeight="1" s="78"/>
    <row r="274" ht="15.75" customHeight="1" s="78"/>
    <row r="275" ht="15.75" customHeight="1" s="78"/>
    <row r="276" ht="15.75" customHeight="1" s="78"/>
    <row r="277" ht="15.75" customHeight="1" s="78"/>
    <row r="278" ht="15.75" customHeight="1" s="78"/>
    <row r="279" ht="15.75" customHeight="1" s="78"/>
    <row r="280" ht="15.75" customHeight="1" s="78"/>
    <row r="281" ht="15.75" customHeight="1" s="78"/>
    <row r="282" ht="15.75" customHeight="1" s="78"/>
    <row r="283" ht="15.75" customHeight="1" s="78"/>
    <row r="284" ht="15.75" customHeight="1" s="78"/>
    <row r="285" ht="15.75" customHeight="1" s="78"/>
    <row r="286" ht="15.75" customHeight="1" s="78"/>
    <row r="287" ht="15.75" customHeight="1" s="78"/>
    <row r="288" ht="15.75" customHeight="1" s="78"/>
    <row r="289" ht="15.75" customHeight="1" s="78"/>
    <row r="290" ht="15.75" customHeight="1" s="78"/>
    <row r="291" ht="15.75" customHeight="1" s="78"/>
    <row r="292" ht="15.75" customHeight="1" s="78"/>
    <row r="293" ht="15.75" customHeight="1" s="78"/>
    <row r="294" ht="15.75" customHeight="1" s="78"/>
    <row r="295" ht="15.75" customHeight="1" s="78"/>
    <row r="296" ht="15.75" customHeight="1" s="78"/>
    <row r="297" ht="15.75" customHeight="1" s="78"/>
    <row r="298" ht="15.75" customHeight="1" s="78"/>
    <row r="299" ht="15.75" customHeight="1" s="78"/>
    <row r="300" ht="15.75" customHeight="1" s="78"/>
    <row r="301" ht="15.75" customHeight="1" s="78"/>
    <row r="302" ht="15.75" customHeight="1" s="78"/>
    <row r="303" ht="15.75" customHeight="1" s="78"/>
    <row r="304" ht="15.75" customHeight="1" s="78"/>
    <row r="305" ht="15.75" customHeight="1" s="78"/>
    <row r="306" ht="15.75" customHeight="1" s="78"/>
    <row r="307" ht="15.75" customHeight="1" s="78"/>
    <row r="308" ht="15.75" customHeight="1" s="78"/>
    <row r="309" ht="15.75" customHeight="1" s="78"/>
    <row r="310" ht="15.75" customHeight="1" s="78"/>
    <row r="311" ht="15.75" customHeight="1" s="78"/>
    <row r="312" ht="15.75" customHeight="1" s="78"/>
    <row r="313" ht="15.75" customHeight="1" s="78"/>
    <row r="314" ht="15.75" customHeight="1" s="78"/>
    <row r="315" ht="15.75" customHeight="1" s="78"/>
    <row r="316" ht="15.75" customHeight="1" s="78"/>
    <row r="317" ht="15.75" customHeight="1" s="78"/>
    <row r="318" ht="15.75" customHeight="1" s="78"/>
    <row r="319" ht="15.75" customHeight="1" s="78"/>
    <row r="320" ht="15.75" customHeight="1" s="78"/>
    <row r="321" ht="15.75" customHeight="1" s="78"/>
    <row r="322" ht="15.75" customHeight="1" s="78"/>
    <row r="323" ht="15.75" customHeight="1" s="78"/>
    <row r="324" ht="15.75" customHeight="1" s="78"/>
    <row r="325" ht="15.75" customHeight="1" s="78"/>
    <row r="326" ht="15.75" customHeight="1" s="78"/>
    <row r="327" ht="15.75" customHeight="1" s="78"/>
    <row r="328" ht="15.75" customHeight="1" s="78"/>
    <row r="329" ht="15.75" customHeight="1" s="78"/>
    <row r="330" ht="15.75" customHeight="1" s="78"/>
    <row r="331" ht="15.75" customHeight="1" s="78"/>
    <row r="332" ht="15.75" customHeight="1" s="78"/>
    <row r="333" ht="15.75" customHeight="1" s="78"/>
    <row r="334" ht="15.75" customHeight="1" s="78"/>
    <row r="335" ht="15.75" customHeight="1" s="78"/>
    <row r="336" ht="15.75" customHeight="1" s="78"/>
    <row r="337" ht="15.75" customHeight="1" s="78"/>
    <row r="338" ht="15.75" customHeight="1" s="78"/>
    <row r="339" ht="15.75" customHeight="1" s="78"/>
    <row r="340" ht="15.75" customHeight="1" s="78"/>
    <row r="341" ht="15.75" customHeight="1" s="78"/>
    <row r="342" ht="15.75" customHeight="1" s="78"/>
    <row r="343" ht="15.75" customHeight="1" s="78"/>
    <row r="344" ht="15.75" customHeight="1" s="78"/>
    <row r="345" ht="15.75" customHeight="1" s="78"/>
    <row r="346" ht="15.75" customHeight="1" s="78"/>
    <row r="347" ht="15.75" customHeight="1" s="78"/>
    <row r="348" ht="15.75" customHeight="1" s="78"/>
    <row r="349" ht="15.75" customHeight="1" s="78"/>
    <row r="350" ht="15.75" customHeight="1" s="78"/>
    <row r="351" ht="15.75" customHeight="1" s="78"/>
    <row r="352" ht="15.75" customHeight="1" s="78"/>
    <row r="353" ht="15.75" customHeight="1" s="78"/>
    <row r="354" ht="15.75" customHeight="1" s="78"/>
    <row r="355" ht="15.75" customHeight="1" s="78"/>
    <row r="356" ht="15.75" customHeight="1" s="78"/>
    <row r="357" ht="15.75" customHeight="1" s="78"/>
    <row r="358" ht="15.75" customHeight="1" s="78"/>
    <row r="359" ht="15.75" customHeight="1" s="78"/>
    <row r="360" ht="15.75" customHeight="1" s="78"/>
    <row r="361" ht="15.75" customHeight="1" s="78"/>
    <row r="362" ht="15.75" customHeight="1" s="78"/>
    <row r="363" ht="15.75" customHeight="1" s="78"/>
    <row r="364" ht="15.75" customHeight="1" s="78"/>
    <row r="365" ht="15.75" customHeight="1" s="78"/>
    <row r="366" ht="15.75" customHeight="1" s="78"/>
    <row r="367" ht="15.75" customHeight="1" s="78"/>
    <row r="368" ht="15.75" customHeight="1" s="78"/>
    <row r="369" ht="15.75" customHeight="1" s="78"/>
    <row r="370" ht="15.75" customHeight="1" s="78"/>
    <row r="371" ht="15.75" customHeight="1" s="78"/>
    <row r="372" ht="15.75" customHeight="1" s="78"/>
    <row r="373" ht="15.75" customHeight="1" s="78"/>
    <row r="374" ht="15.75" customHeight="1" s="78"/>
    <row r="375" ht="15.75" customHeight="1" s="78"/>
    <row r="376" ht="15.75" customHeight="1" s="78"/>
    <row r="377" ht="15.75" customHeight="1" s="78"/>
    <row r="378" ht="15.75" customHeight="1" s="78"/>
    <row r="379" ht="15.75" customHeight="1" s="78"/>
    <row r="380" ht="15.75" customHeight="1" s="78"/>
    <row r="381" ht="15.75" customHeight="1" s="78"/>
    <row r="382" ht="15.75" customHeight="1" s="78"/>
    <row r="383" ht="15.75" customHeight="1" s="78"/>
    <row r="384" ht="15.75" customHeight="1" s="78"/>
    <row r="385" ht="15.75" customHeight="1" s="78"/>
    <row r="386" ht="15.75" customHeight="1" s="78"/>
    <row r="387" ht="15.75" customHeight="1" s="78"/>
    <row r="388" ht="15.75" customHeight="1" s="78"/>
    <row r="389" ht="15.75" customHeight="1" s="78"/>
    <row r="390" ht="15.75" customHeight="1" s="78"/>
    <row r="391" ht="15.75" customHeight="1" s="78"/>
    <row r="392" ht="15.75" customHeight="1" s="78"/>
    <row r="393" ht="15.75" customHeight="1" s="78"/>
    <row r="394" ht="15.75" customHeight="1" s="78"/>
    <row r="395" ht="15.75" customHeight="1" s="78"/>
    <row r="396" ht="15.75" customHeight="1" s="78"/>
    <row r="397" ht="15.75" customHeight="1" s="78"/>
    <row r="398" ht="15.75" customHeight="1" s="78"/>
    <row r="399" ht="15.75" customHeight="1" s="78"/>
    <row r="400" ht="15.75" customHeight="1" s="78"/>
    <row r="401" ht="15.75" customHeight="1" s="78"/>
    <row r="402" ht="15.75" customHeight="1" s="78"/>
    <row r="403" ht="15.75" customHeight="1" s="78"/>
    <row r="404" ht="15.75" customHeight="1" s="78"/>
    <row r="405" ht="15.75" customHeight="1" s="78"/>
    <row r="406" ht="15.75" customHeight="1" s="78"/>
    <row r="407" ht="15.75" customHeight="1" s="78"/>
    <row r="408" ht="15.75" customHeight="1" s="78"/>
    <row r="409" ht="15.75" customHeight="1" s="78"/>
    <row r="410" ht="15.75" customHeight="1" s="78"/>
    <row r="411" ht="15.75" customHeight="1" s="78"/>
    <row r="412" ht="15.75" customHeight="1" s="78"/>
    <row r="413" ht="15.75" customHeight="1" s="78"/>
    <row r="414" ht="15.75" customHeight="1" s="78"/>
    <row r="415" ht="15.75" customHeight="1" s="78"/>
    <row r="416" ht="15.75" customHeight="1" s="78"/>
    <row r="417" ht="15.75" customHeight="1" s="78"/>
    <row r="418" ht="15.75" customHeight="1" s="78"/>
    <row r="419" ht="15.75" customHeight="1" s="78"/>
    <row r="420" ht="15.75" customHeight="1" s="78"/>
    <row r="421" ht="15.75" customHeight="1" s="78"/>
    <row r="422" ht="15.75" customHeight="1" s="78"/>
    <row r="423" ht="15.75" customHeight="1" s="78"/>
    <row r="424" ht="15.75" customHeight="1" s="78"/>
    <row r="425" ht="15.75" customHeight="1" s="78"/>
    <row r="426" ht="15.75" customHeight="1" s="78"/>
    <row r="427" ht="15.75" customHeight="1" s="78"/>
    <row r="428" ht="15.75" customHeight="1" s="78"/>
    <row r="429" ht="15.75" customHeight="1" s="78"/>
    <row r="430" ht="15.75" customHeight="1" s="78"/>
    <row r="431" ht="15.75" customHeight="1" s="78"/>
    <row r="432" ht="15.75" customHeight="1" s="78"/>
    <row r="433" ht="15.75" customHeight="1" s="78"/>
    <row r="434" ht="15.75" customHeight="1" s="78"/>
    <row r="435" ht="15.75" customHeight="1" s="78"/>
    <row r="436" ht="15.75" customHeight="1" s="78"/>
    <row r="437" ht="15.75" customHeight="1" s="78"/>
    <row r="438" ht="15.75" customHeight="1" s="78"/>
    <row r="439" ht="15.75" customHeight="1" s="78"/>
    <row r="440" ht="15.75" customHeight="1" s="78"/>
    <row r="441" ht="15.75" customHeight="1" s="78"/>
    <row r="442" ht="15.75" customHeight="1" s="78"/>
    <row r="443" ht="15.75" customHeight="1" s="78"/>
    <row r="444" ht="15.75" customHeight="1" s="78"/>
    <row r="445" ht="15.75" customHeight="1" s="78"/>
    <row r="446" ht="15.75" customHeight="1" s="78"/>
    <row r="447" ht="15.75" customHeight="1" s="78"/>
    <row r="448" ht="15.75" customHeight="1" s="78"/>
    <row r="449" ht="15.75" customHeight="1" s="78"/>
    <row r="450" ht="15.75" customHeight="1" s="78"/>
    <row r="451" ht="15.75" customHeight="1" s="78"/>
    <row r="452" ht="15.75" customHeight="1" s="78"/>
    <row r="453" ht="15.75" customHeight="1" s="78"/>
    <row r="454" ht="15.75" customHeight="1" s="78"/>
    <row r="455" ht="15.75" customHeight="1" s="78"/>
    <row r="456" ht="15.75" customHeight="1" s="78"/>
    <row r="457" ht="15.75" customHeight="1" s="78"/>
    <row r="458" ht="15.75" customHeight="1" s="78"/>
    <row r="459" ht="15.75" customHeight="1" s="78"/>
    <row r="460" ht="15.75" customHeight="1" s="78"/>
    <row r="461" ht="15.75" customHeight="1" s="78"/>
    <row r="462" ht="15.75" customHeight="1" s="78"/>
    <row r="463" ht="15.75" customHeight="1" s="78"/>
    <row r="464" ht="15.75" customHeight="1" s="78"/>
    <row r="465" ht="15.75" customHeight="1" s="78"/>
    <row r="466" ht="15.75" customHeight="1" s="78"/>
    <row r="467" ht="15.75" customHeight="1" s="78"/>
    <row r="468" ht="15.75" customHeight="1" s="78"/>
    <row r="469" ht="15.75" customHeight="1" s="78"/>
    <row r="470" ht="15.75" customHeight="1" s="78"/>
    <row r="471" ht="15.75" customHeight="1" s="78"/>
    <row r="472" ht="15.75" customHeight="1" s="78"/>
    <row r="473" ht="15.75" customHeight="1" s="78"/>
    <row r="474" ht="15.75" customHeight="1" s="78"/>
    <row r="475" ht="15.75" customHeight="1" s="78"/>
    <row r="476" ht="15.75" customHeight="1" s="78"/>
    <row r="477" ht="15.75" customHeight="1" s="78"/>
    <row r="478" ht="15.75" customHeight="1" s="78"/>
    <row r="479" ht="15.75" customHeight="1" s="78"/>
    <row r="480" ht="15.75" customHeight="1" s="78"/>
    <row r="481" ht="15.75" customHeight="1" s="78"/>
    <row r="482" ht="15.75" customHeight="1" s="78"/>
    <row r="483" ht="15.75" customHeight="1" s="78"/>
    <row r="484" ht="15.75" customHeight="1" s="78"/>
    <row r="485" ht="15.75" customHeight="1" s="78"/>
    <row r="486" ht="15.75" customHeight="1" s="78"/>
    <row r="487" ht="15.75" customHeight="1" s="78"/>
    <row r="488" ht="15.75" customHeight="1" s="78"/>
    <row r="489" ht="15.75" customHeight="1" s="78"/>
    <row r="490" ht="15.75" customHeight="1" s="78"/>
    <row r="491" ht="15.75" customHeight="1" s="78"/>
    <row r="492" ht="15.75" customHeight="1" s="78"/>
    <row r="493" ht="15.75" customHeight="1" s="78"/>
    <row r="494" ht="15.75" customHeight="1" s="78"/>
    <row r="495" ht="15.75" customHeight="1" s="78"/>
    <row r="496" ht="15.75" customHeight="1" s="78"/>
    <row r="497" ht="15.75" customHeight="1" s="78"/>
    <row r="498" ht="15.75" customHeight="1" s="78"/>
    <row r="499" ht="15.75" customHeight="1" s="78"/>
    <row r="500" ht="15.75" customHeight="1" s="78"/>
    <row r="501" ht="15.75" customHeight="1" s="78"/>
    <row r="502" ht="15.75" customHeight="1" s="78"/>
    <row r="503" ht="15.75" customHeight="1" s="78"/>
    <row r="504" ht="15.75" customHeight="1" s="78"/>
    <row r="505" ht="15.75" customHeight="1" s="78"/>
    <row r="506" ht="15.75" customHeight="1" s="78"/>
    <row r="507" ht="15.75" customHeight="1" s="78"/>
    <row r="508" ht="15.75" customHeight="1" s="78"/>
    <row r="509" ht="15.75" customHeight="1" s="78"/>
    <row r="510" ht="15.75" customHeight="1" s="78"/>
    <row r="511" ht="15.75" customHeight="1" s="78"/>
    <row r="512" ht="15.75" customHeight="1" s="78"/>
    <row r="513" ht="15.75" customHeight="1" s="78"/>
    <row r="514" ht="15.75" customHeight="1" s="78"/>
    <row r="515" ht="15.75" customHeight="1" s="78"/>
    <row r="516" ht="15.75" customHeight="1" s="78"/>
    <row r="517" ht="15.75" customHeight="1" s="78"/>
    <row r="518" ht="15.75" customHeight="1" s="78"/>
    <row r="519" ht="15.75" customHeight="1" s="78"/>
    <row r="520" ht="15.75" customHeight="1" s="78"/>
    <row r="521" ht="15.75" customHeight="1" s="78"/>
    <row r="522" ht="15.75" customHeight="1" s="78"/>
    <row r="523" ht="15.75" customHeight="1" s="78"/>
    <row r="524" ht="15.75" customHeight="1" s="78"/>
    <row r="525" ht="15.75" customHeight="1" s="78"/>
    <row r="526" ht="15.75" customHeight="1" s="78"/>
    <row r="527" ht="15.75" customHeight="1" s="78"/>
    <row r="528" ht="15.75" customHeight="1" s="78"/>
    <row r="529" ht="15.75" customHeight="1" s="78"/>
    <row r="530" ht="15.75" customHeight="1" s="78"/>
    <row r="531" ht="15.75" customHeight="1" s="78"/>
    <row r="532" ht="15.75" customHeight="1" s="78"/>
    <row r="533" ht="15.75" customHeight="1" s="78"/>
    <row r="534" ht="15.75" customHeight="1" s="78"/>
    <row r="535" ht="15.75" customHeight="1" s="78"/>
    <row r="536" ht="15.75" customHeight="1" s="78"/>
    <row r="537" ht="15.75" customHeight="1" s="78"/>
    <row r="538" ht="15.75" customHeight="1" s="78"/>
    <row r="539" ht="15.75" customHeight="1" s="78"/>
    <row r="540" ht="15.75" customHeight="1" s="78"/>
    <row r="541" ht="15.75" customHeight="1" s="78"/>
    <row r="542" ht="15.75" customHeight="1" s="78"/>
    <row r="543" ht="15.75" customHeight="1" s="78"/>
    <row r="544" ht="15.75" customHeight="1" s="78"/>
    <row r="545" ht="15.75" customHeight="1" s="78"/>
    <row r="546" ht="15.75" customHeight="1" s="78"/>
    <row r="547" ht="15.75" customHeight="1" s="78"/>
    <row r="548" ht="15.75" customHeight="1" s="78"/>
    <row r="549" ht="15.75" customHeight="1" s="78"/>
    <row r="550" ht="15.75" customHeight="1" s="78"/>
    <row r="551" ht="15.75" customHeight="1" s="78"/>
    <row r="552" ht="15.75" customHeight="1" s="78"/>
    <row r="553" ht="15.75" customHeight="1" s="78"/>
    <row r="554" ht="15.75" customHeight="1" s="78"/>
    <row r="555" ht="15.75" customHeight="1" s="78"/>
    <row r="556" ht="15.75" customHeight="1" s="78"/>
    <row r="557" ht="15.75" customHeight="1" s="78"/>
    <row r="558" ht="15.75" customHeight="1" s="78"/>
    <row r="559" ht="15.75" customHeight="1" s="78"/>
    <row r="560" ht="15.75" customHeight="1" s="78"/>
    <row r="561" ht="15.75" customHeight="1" s="78"/>
    <row r="562" ht="15.75" customHeight="1" s="78"/>
    <row r="563" ht="15.75" customHeight="1" s="78"/>
    <row r="564" ht="15.75" customHeight="1" s="78"/>
    <row r="565" ht="15.75" customHeight="1" s="78"/>
    <row r="566" ht="15.75" customHeight="1" s="78"/>
    <row r="567" ht="15.75" customHeight="1" s="78"/>
    <row r="568" ht="15.75" customHeight="1" s="78"/>
    <row r="569" ht="15.75" customHeight="1" s="78"/>
    <row r="570" ht="15.75" customHeight="1" s="78"/>
    <row r="571" ht="15.75" customHeight="1" s="78"/>
    <row r="572" ht="15.75" customHeight="1" s="78"/>
    <row r="573" ht="15.75" customHeight="1" s="78"/>
    <row r="574" ht="15.75" customHeight="1" s="78"/>
    <row r="575" ht="15.75" customHeight="1" s="78"/>
    <row r="576" ht="15.75" customHeight="1" s="78"/>
    <row r="577" ht="15.75" customHeight="1" s="78"/>
    <row r="578" ht="15.75" customHeight="1" s="78"/>
    <row r="579" ht="15.75" customHeight="1" s="78"/>
    <row r="580" ht="15.75" customHeight="1" s="78"/>
    <row r="581" ht="15.75" customHeight="1" s="78"/>
    <row r="582" ht="15.75" customHeight="1" s="78"/>
    <row r="583" ht="15.75" customHeight="1" s="78"/>
    <row r="584" ht="15.75" customHeight="1" s="78"/>
    <row r="585" ht="15.75" customHeight="1" s="78"/>
    <row r="586" ht="15.75" customHeight="1" s="78"/>
    <row r="587" ht="15.75" customHeight="1" s="78"/>
    <row r="588" ht="15.75" customHeight="1" s="78"/>
    <row r="589" ht="15.75" customHeight="1" s="78"/>
    <row r="590" ht="15.75" customHeight="1" s="78"/>
    <row r="591" ht="15.75" customHeight="1" s="78"/>
    <row r="592" ht="15.75" customHeight="1" s="78"/>
    <row r="593" ht="15.75" customHeight="1" s="78"/>
    <row r="594" ht="15.75" customHeight="1" s="78"/>
    <row r="595" ht="15.75" customHeight="1" s="78"/>
    <row r="596" ht="15.75" customHeight="1" s="78"/>
    <row r="597" ht="15.75" customHeight="1" s="78"/>
    <row r="598" ht="15.75" customHeight="1" s="78"/>
    <row r="599" ht="15.75" customHeight="1" s="78"/>
    <row r="600" ht="15.75" customHeight="1" s="78"/>
    <row r="601" ht="15.75" customHeight="1" s="78"/>
    <row r="602" ht="15.75" customHeight="1" s="78"/>
    <row r="603" ht="15.75" customHeight="1" s="78"/>
    <row r="604" ht="15.75" customHeight="1" s="78"/>
    <row r="605" ht="15.75" customHeight="1" s="78"/>
    <row r="606" ht="15.75" customHeight="1" s="78"/>
    <row r="607" ht="15.75" customHeight="1" s="78"/>
    <row r="608" ht="15.75" customHeight="1" s="78"/>
    <row r="609" ht="15.75" customHeight="1" s="78"/>
    <row r="610" ht="15.75" customHeight="1" s="78"/>
    <row r="611" ht="15.75" customHeight="1" s="78"/>
    <row r="612" ht="15.75" customHeight="1" s="78"/>
    <row r="613" ht="15.75" customHeight="1" s="78"/>
    <row r="614" ht="15.75" customHeight="1" s="78"/>
    <row r="615" ht="15.75" customHeight="1" s="78"/>
    <row r="616" ht="15.75" customHeight="1" s="78"/>
    <row r="617" ht="15.75" customHeight="1" s="78"/>
    <row r="618" ht="15.75" customHeight="1" s="78"/>
    <row r="619" ht="15.75" customHeight="1" s="78"/>
    <row r="620" ht="15.75" customHeight="1" s="78"/>
    <row r="621" ht="15.75" customHeight="1" s="78"/>
    <row r="622" ht="15.75" customHeight="1" s="78"/>
    <row r="623" ht="15.75" customHeight="1" s="78"/>
    <row r="624" ht="15.75" customHeight="1" s="78"/>
    <row r="625" ht="15.75" customHeight="1" s="78"/>
    <row r="626" ht="15.75" customHeight="1" s="78"/>
    <row r="627" ht="15.75" customHeight="1" s="78"/>
    <row r="628" ht="15.75" customHeight="1" s="78"/>
    <row r="629" ht="15.75" customHeight="1" s="78"/>
    <row r="630" ht="15.75" customHeight="1" s="78"/>
    <row r="631" ht="15.75" customHeight="1" s="78"/>
    <row r="632" ht="15.75" customHeight="1" s="78"/>
    <row r="633" ht="15.75" customHeight="1" s="78"/>
    <row r="634" ht="15.75" customHeight="1" s="78"/>
    <row r="635" ht="15.75" customHeight="1" s="78"/>
    <row r="636" ht="15.75" customHeight="1" s="78"/>
    <row r="637" ht="15.75" customHeight="1" s="78"/>
    <row r="638" ht="15.75" customHeight="1" s="78"/>
    <row r="639" ht="15.75" customHeight="1" s="78"/>
    <row r="640" ht="15.75" customHeight="1" s="78"/>
    <row r="641" ht="15.75" customHeight="1" s="78"/>
    <row r="642" ht="15.75" customHeight="1" s="78"/>
    <row r="643" ht="15.75" customHeight="1" s="78"/>
    <row r="644" ht="15.75" customHeight="1" s="78"/>
    <row r="645" ht="15.75" customHeight="1" s="78"/>
    <row r="646" ht="15.75" customHeight="1" s="78"/>
    <row r="647" ht="15.75" customHeight="1" s="78"/>
    <row r="648" ht="15.75" customHeight="1" s="78"/>
    <row r="649" ht="15.75" customHeight="1" s="78"/>
    <row r="650" ht="15.75" customHeight="1" s="78"/>
    <row r="651" ht="15.75" customHeight="1" s="78"/>
    <row r="652" ht="15.75" customHeight="1" s="78"/>
    <row r="653" ht="15.75" customHeight="1" s="78"/>
    <row r="654" ht="15.75" customHeight="1" s="78"/>
    <row r="655" ht="15.75" customHeight="1" s="78"/>
    <row r="656" ht="15.75" customHeight="1" s="78"/>
    <row r="657" ht="15.75" customHeight="1" s="78"/>
    <row r="658" ht="15.75" customHeight="1" s="78"/>
    <row r="659" ht="15.75" customHeight="1" s="78"/>
    <row r="660" ht="15.75" customHeight="1" s="78"/>
    <row r="661" ht="15.75" customHeight="1" s="78"/>
    <row r="662" ht="15.75" customHeight="1" s="78"/>
    <row r="663" ht="15.75" customHeight="1" s="78"/>
    <row r="664" ht="15.75" customHeight="1" s="78"/>
    <row r="665" ht="15.75" customHeight="1" s="78"/>
    <row r="666" ht="15.75" customHeight="1" s="78"/>
    <row r="667" ht="15.75" customHeight="1" s="78"/>
    <row r="668" ht="15.75" customHeight="1" s="78"/>
    <row r="669" ht="15.75" customHeight="1" s="78"/>
    <row r="670" ht="15.75" customHeight="1" s="78"/>
    <row r="671" ht="15.75" customHeight="1" s="78"/>
    <row r="672" ht="15.75" customHeight="1" s="78"/>
    <row r="673" ht="15.75" customHeight="1" s="78"/>
    <row r="674" ht="15.75" customHeight="1" s="78"/>
    <row r="675" ht="15.75" customHeight="1" s="78"/>
    <row r="676" ht="15.75" customHeight="1" s="78"/>
    <row r="677" ht="15.75" customHeight="1" s="78"/>
    <row r="678" ht="15.75" customHeight="1" s="78"/>
    <row r="679" ht="15.75" customHeight="1" s="78"/>
    <row r="680" ht="15.75" customHeight="1" s="78"/>
    <row r="681" ht="15.75" customHeight="1" s="78"/>
    <row r="682" ht="15.75" customHeight="1" s="78"/>
    <row r="683" ht="15.75" customHeight="1" s="78"/>
    <row r="684" ht="15.75" customHeight="1" s="78"/>
    <row r="685" ht="15.75" customHeight="1" s="78"/>
    <row r="686" ht="15.75" customHeight="1" s="78"/>
    <row r="687" ht="15.75" customHeight="1" s="78"/>
    <row r="688" ht="15.75" customHeight="1" s="78"/>
    <row r="689" ht="15.75" customHeight="1" s="78"/>
    <row r="690" ht="15.75" customHeight="1" s="78"/>
    <row r="691" ht="15.75" customHeight="1" s="78"/>
    <row r="692" ht="15.75" customHeight="1" s="78"/>
    <row r="693" ht="15.75" customHeight="1" s="78"/>
    <row r="694" ht="15.75" customHeight="1" s="78"/>
    <row r="695" ht="15.75" customHeight="1" s="78"/>
    <row r="696" ht="15.75" customHeight="1" s="78"/>
    <row r="697" ht="15.75" customHeight="1" s="78"/>
    <row r="698" ht="15.75" customHeight="1" s="78"/>
    <row r="699" ht="15.75" customHeight="1" s="78"/>
    <row r="700" ht="15.75" customHeight="1" s="78"/>
    <row r="701" ht="15.75" customHeight="1" s="78"/>
    <row r="702" ht="15.75" customHeight="1" s="78"/>
    <row r="703" ht="15.75" customHeight="1" s="78"/>
    <row r="704" ht="15.75" customHeight="1" s="78"/>
    <row r="705" ht="15.75" customHeight="1" s="78"/>
    <row r="706" ht="15.75" customHeight="1" s="78"/>
    <row r="707" ht="15.75" customHeight="1" s="78"/>
    <row r="708" ht="15.75" customHeight="1" s="78"/>
    <row r="709" ht="15.75" customHeight="1" s="78"/>
    <row r="710" ht="15.75" customHeight="1" s="78"/>
    <row r="711" ht="15.75" customHeight="1" s="78"/>
    <row r="712" ht="15.75" customHeight="1" s="78"/>
    <row r="713" ht="15.75" customHeight="1" s="78"/>
    <row r="714" ht="15.75" customHeight="1" s="78"/>
    <row r="715" ht="15.75" customHeight="1" s="78"/>
    <row r="716" ht="15.75" customHeight="1" s="78"/>
    <row r="717" ht="15.75" customHeight="1" s="78"/>
    <row r="718" ht="15.75" customHeight="1" s="78"/>
    <row r="719" ht="15.75" customHeight="1" s="78"/>
    <row r="720" ht="15.75" customHeight="1" s="78"/>
    <row r="721" ht="15.75" customHeight="1" s="78"/>
    <row r="722" ht="15.75" customHeight="1" s="78"/>
    <row r="723" ht="15.75" customHeight="1" s="78"/>
    <row r="724" ht="15.75" customHeight="1" s="78"/>
    <row r="725" ht="15.75" customHeight="1" s="78"/>
    <row r="726" ht="15.75" customHeight="1" s="78"/>
    <row r="727" ht="15.75" customHeight="1" s="78"/>
    <row r="728" ht="15.75" customHeight="1" s="78"/>
    <row r="729" ht="15.75" customHeight="1" s="78"/>
    <row r="730" ht="15.75" customHeight="1" s="78"/>
    <row r="731" ht="15.75" customHeight="1" s="78"/>
    <row r="732" ht="15.75" customHeight="1" s="78"/>
    <row r="733" ht="15.75" customHeight="1" s="78"/>
    <row r="734" ht="15.75" customHeight="1" s="78"/>
    <row r="735" ht="15.75" customHeight="1" s="78"/>
    <row r="736" ht="15.75" customHeight="1" s="78"/>
    <row r="737" ht="15.75" customHeight="1" s="78"/>
    <row r="738" ht="15.75" customHeight="1" s="78"/>
    <row r="739" ht="15.75" customHeight="1" s="78"/>
    <row r="740" ht="15.75" customHeight="1" s="78"/>
    <row r="741" ht="15.75" customHeight="1" s="78"/>
    <row r="742" ht="15.75" customHeight="1" s="78"/>
    <row r="743" ht="15.75" customHeight="1" s="78"/>
    <row r="744" ht="15.75" customHeight="1" s="78"/>
    <row r="745" ht="15.75" customHeight="1" s="78"/>
    <row r="746" ht="15.75" customHeight="1" s="78"/>
    <row r="747" ht="15.75" customHeight="1" s="78"/>
    <row r="748" ht="15.75" customHeight="1" s="78"/>
    <row r="749" ht="15.75" customHeight="1" s="78"/>
    <row r="750" ht="15.75" customHeight="1" s="78"/>
    <row r="751" ht="15.75" customHeight="1" s="78"/>
    <row r="752" ht="15.75" customHeight="1" s="78"/>
    <row r="753" ht="15.75" customHeight="1" s="78"/>
    <row r="754" ht="15.75" customHeight="1" s="78"/>
    <row r="755" ht="15.75" customHeight="1" s="78"/>
    <row r="756" ht="15.75" customHeight="1" s="78"/>
    <row r="757" ht="15.75" customHeight="1" s="78"/>
    <row r="758" ht="15.75" customHeight="1" s="78"/>
    <row r="759" ht="15.75" customHeight="1" s="78"/>
    <row r="760" ht="15.75" customHeight="1" s="78"/>
    <row r="761" ht="15.75" customHeight="1" s="78"/>
    <row r="762" ht="15.75" customHeight="1" s="78"/>
    <row r="763" ht="15.75" customHeight="1" s="78"/>
    <row r="764" ht="15.75" customHeight="1" s="78"/>
    <row r="765" ht="15.75" customHeight="1" s="78"/>
    <row r="766" ht="15.75" customHeight="1" s="78"/>
    <row r="767" ht="15.75" customHeight="1" s="78"/>
    <row r="768" ht="15.75" customHeight="1" s="78"/>
    <row r="769" ht="15.75" customHeight="1" s="78"/>
    <row r="770" ht="15.75" customHeight="1" s="78"/>
    <row r="771" ht="15.75" customHeight="1" s="78"/>
    <row r="772" ht="15.75" customHeight="1" s="78"/>
    <row r="773" ht="15.75" customHeight="1" s="78"/>
    <row r="774" ht="15.75" customHeight="1" s="78"/>
    <row r="775" ht="15.75" customHeight="1" s="78"/>
    <row r="776" ht="15.75" customHeight="1" s="78"/>
    <row r="777" ht="15.75" customHeight="1" s="78"/>
    <row r="778" ht="15.75" customHeight="1" s="78"/>
    <row r="779" ht="15.75" customHeight="1" s="78"/>
    <row r="780" ht="15.75" customHeight="1" s="78"/>
    <row r="781" ht="15.75" customHeight="1" s="78"/>
    <row r="782" ht="15.75" customHeight="1" s="78"/>
    <row r="783" ht="15.75" customHeight="1" s="78"/>
    <row r="784" ht="15.75" customHeight="1" s="78"/>
    <row r="785" ht="15.75" customHeight="1" s="78"/>
    <row r="786" ht="15.75" customHeight="1" s="78"/>
    <row r="787" ht="15.75" customHeight="1" s="78"/>
    <row r="788" ht="15.75" customHeight="1" s="78"/>
    <row r="789" ht="15.75" customHeight="1" s="78"/>
    <row r="790" ht="15.75" customHeight="1" s="78"/>
    <row r="791" ht="15.75" customHeight="1" s="78"/>
    <row r="792" ht="15.75" customHeight="1" s="78"/>
    <row r="793" ht="15.75" customHeight="1" s="78"/>
    <row r="794" ht="15.75" customHeight="1" s="78"/>
    <row r="795" ht="15.75" customHeight="1" s="78"/>
    <row r="796" ht="15.75" customHeight="1" s="78"/>
    <row r="797" ht="15.75" customHeight="1" s="78"/>
    <row r="798" ht="15.75" customHeight="1" s="78"/>
    <row r="799" ht="15.75" customHeight="1" s="78"/>
    <row r="800" ht="15.75" customHeight="1" s="78"/>
    <row r="801" ht="15.75" customHeight="1" s="78"/>
    <row r="802" ht="15.75" customHeight="1" s="78"/>
    <row r="803" ht="15.75" customHeight="1" s="78"/>
    <row r="804" ht="15.75" customHeight="1" s="78"/>
    <row r="805" ht="15.75" customHeight="1" s="78"/>
    <row r="806" ht="15.75" customHeight="1" s="78"/>
    <row r="807" ht="15.75" customHeight="1" s="78"/>
    <row r="808" ht="15.75" customHeight="1" s="78"/>
    <row r="809" ht="15.75" customHeight="1" s="78"/>
    <row r="810" ht="15.75" customHeight="1" s="78"/>
    <row r="811" ht="15.75" customHeight="1" s="78"/>
    <row r="812" ht="15.75" customHeight="1" s="78"/>
    <row r="813" ht="15.75" customHeight="1" s="78"/>
    <row r="814" ht="15.75" customHeight="1" s="78"/>
    <row r="815" ht="15.75" customHeight="1" s="78"/>
    <row r="816" ht="15.75" customHeight="1" s="78"/>
    <row r="817" ht="15.75" customHeight="1" s="78"/>
    <row r="818" ht="15.75" customHeight="1" s="78"/>
    <row r="819" ht="15.75" customHeight="1" s="78"/>
    <row r="820" ht="15.75" customHeight="1" s="78"/>
    <row r="821" ht="15.75" customHeight="1" s="78"/>
    <row r="822" ht="15.75" customHeight="1" s="78"/>
    <row r="823" ht="15.75" customHeight="1" s="78"/>
    <row r="824" ht="15.75" customHeight="1" s="78"/>
    <row r="825" ht="15.75" customHeight="1" s="78"/>
    <row r="826" ht="15.75" customHeight="1" s="78"/>
    <row r="827" ht="15.75" customHeight="1" s="78"/>
    <row r="828" ht="15.75" customHeight="1" s="78"/>
    <row r="829" ht="15.75" customHeight="1" s="78"/>
    <row r="830" ht="15.75" customHeight="1" s="78"/>
    <row r="831" ht="15.75" customHeight="1" s="78"/>
    <row r="832" ht="15.75" customHeight="1" s="78"/>
    <row r="833" ht="15.75" customHeight="1" s="78"/>
    <row r="834" ht="15.75" customHeight="1" s="78"/>
    <row r="835" ht="15.75" customHeight="1" s="78"/>
    <row r="836" ht="15.75" customHeight="1" s="78"/>
    <row r="837" ht="15.75" customHeight="1" s="78"/>
    <row r="838" ht="15.75" customHeight="1" s="78"/>
    <row r="839" ht="15.75" customHeight="1" s="78"/>
    <row r="840" ht="15.75" customHeight="1" s="78"/>
    <row r="841" ht="15.75" customHeight="1" s="78"/>
    <row r="842" ht="15.75" customHeight="1" s="78"/>
    <row r="843" ht="15.75" customHeight="1" s="78"/>
    <row r="844" ht="15.75" customHeight="1" s="78"/>
    <row r="845" ht="15.75" customHeight="1" s="78"/>
    <row r="846" ht="15.75" customHeight="1" s="78"/>
    <row r="847" ht="15.75" customHeight="1" s="78"/>
    <row r="848" ht="15.75" customHeight="1" s="78"/>
    <row r="849" ht="15.75" customHeight="1" s="78"/>
    <row r="850" ht="15.75" customHeight="1" s="78"/>
    <row r="851" ht="15.75" customHeight="1" s="78"/>
    <row r="852" ht="15.75" customHeight="1" s="78"/>
    <row r="853" ht="15.75" customHeight="1" s="78"/>
    <row r="854" ht="15.75" customHeight="1" s="78"/>
    <row r="855" ht="15.75" customHeight="1" s="78"/>
    <row r="856" ht="15.75" customHeight="1" s="78"/>
    <row r="857" ht="15.75" customHeight="1" s="78"/>
    <row r="858" ht="15.75" customHeight="1" s="78"/>
    <row r="859" ht="15.75" customHeight="1" s="78"/>
    <row r="860" ht="15.75" customHeight="1" s="78"/>
    <row r="861" ht="15.75" customHeight="1" s="78"/>
    <row r="862" ht="15.75" customHeight="1" s="78"/>
    <row r="863" ht="15.75" customHeight="1" s="78"/>
    <row r="864" ht="15.75" customHeight="1" s="78"/>
    <row r="865" ht="15.75" customHeight="1" s="78"/>
    <row r="866" ht="15.75" customHeight="1" s="78"/>
    <row r="867" ht="15.75" customHeight="1" s="78"/>
    <row r="868" ht="15.75" customHeight="1" s="78"/>
    <row r="869" ht="15.75" customHeight="1" s="78"/>
    <row r="870" ht="15.75" customHeight="1" s="78"/>
    <row r="871" ht="15.75" customHeight="1" s="78"/>
    <row r="872" ht="15.75" customHeight="1" s="78"/>
    <row r="873" ht="15.75" customHeight="1" s="78"/>
    <row r="874" ht="15.75" customHeight="1" s="78"/>
    <row r="875" ht="15.75" customHeight="1" s="78"/>
    <row r="876" ht="15.75" customHeight="1" s="78"/>
    <row r="877" ht="15.75" customHeight="1" s="78"/>
    <row r="878" ht="15.75" customHeight="1" s="78"/>
    <row r="879" ht="15.75" customHeight="1" s="78"/>
    <row r="880" ht="15.75" customHeight="1" s="78"/>
    <row r="881" ht="15.75" customHeight="1" s="78"/>
    <row r="882" ht="15.75" customHeight="1" s="78"/>
    <row r="883" ht="15.75" customHeight="1" s="78"/>
    <row r="884" ht="15.75" customHeight="1" s="78"/>
    <row r="885" ht="15.75" customHeight="1" s="78"/>
    <row r="886" ht="15.75" customHeight="1" s="78"/>
    <row r="887" ht="15.75" customHeight="1" s="78"/>
    <row r="888" ht="15.75" customHeight="1" s="78"/>
    <row r="889" ht="15.75" customHeight="1" s="78"/>
    <row r="890" ht="15.75" customHeight="1" s="78"/>
    <row r="891" ht="15.75" customHeight="1" s="78"/>
    <row r="892" ht="15.75" customHeight="1" s="78"/>
    <row r="893" ht="15.75" customHeight="1" s="78"/>
    <row r="894" ht="15.75" customHeight="1" s="78"/>
    <row r="895" ht="15.75" customHeight="1" s="78"/>
    <row r="896" ht="15.75" customHeight="1" s="78"/>
    <row r="897" ht="15.75" customHeight="1" s="78"/>
    <row r="898" ht="15.75" customHeight="1" s="78"/>
    <row r="899" ht="15.75" customHeight="1" s="78"/>
    <row r="900" ht="15.75" customHeight="1" s="78"/>
    <row r="901" ht="15.75" customHeight="1" s="78"/>
    <row r="902" ht="15.75" customHeight="1" s="78"/>
    <row r="903" ht="15.75" customHeight="1" s="78"/>
    <row r="904" ht="15.75" customHeight="1" s="78"/>
    <row r="905" ht="15.75" customHeight="1" s="78"/>
    <row r="906" ht="15.75" customHeight="1" s="78"/>
    <row r="907" ht="15.75" customHeight="1" s="78"/>
    <row r="908" ht="15.75" customHeight="1" s="78"/>
    <row r="909" ht="15.75" customHeight="1" s="78"/>
    <row r="910" ht="15.75" customHeight="1" s="78"/>
    <row r="911" ht="15.75" customHeight="1" s="78"/>
    <row r="912" ht="15.75" customHeight="1" s="78"/>
    <row r="913" ht="15.75" customHeight="1" s="78"/>
    <row r="914" ht="15.75" customHeight="1" s="78"/>
    <row r="915" ht="15.75" customHeight="1" s="78"/>
    <row r="916" ht="15.75" customHeight="1" s="78"/>
    <row r="917" ht="15.75" customHeight="1" s="78"/>
    <row r="918" ht="15.75" customHeight="1" s="78"/>
    <row r="919" ht="15.75" customHeight="1" s="78"/>
    <row r="920" ht="15.75" customHeight="1" s="78"/>
    <row r="921" ht="15.75" customHeight="1" s="78"/>
    <row r="922" ht="15.75" customHeight="1" s="78"/>
    <row r="923" ht="15.75" customHeight="1" s="78"/>
    <row r="924" ht="15.75" customHeight="1" s="78"/>
    <row r="925" ht="15.75" customHeight="1" s="78"/>
    <row r="926" ht="15.75" customHeight="1" s="78"/>
    <row r="927" ht="15.75" customHeight="1" s="78"/>
    <row r="928" ht="15.75" customHeight="1" s="78"/>
    <row r="929" ht="15.75" customHeight="1" s="78"/>
    <row r="930" ht="15.75" customHeight="1" s="78"/>
    <row r="931" ht="15.75" customHeight="1" s="78"/>
    <row r="932" ht="15.75" customHeight="1" s="78"/>
    <row r="933" ht="15.75" customHeight="1" s="78"/>
    <row r="934" ht="15.75" customHeight="1" s="78"/>
    <row r="935" ht="15.75" customHeight="1" s="78"/>
    <row r="936" ht="15.75" customHeight="1" s="78"/>
    <row r="937" ht="15.75" customHeight="1" s="78"/>
    <row r="938" ht="15.75" customHeight="1" s="78"/>
    <row r="939" ht="15.75" customHeight="1" s="78"/>
    <row r="940" ht="15.75" customHeight="1" s="78"/>
    <row r="941" ht="15.75" customHeight="1" s="78"/>
    <row r="942" ht="15.75" customHeight="1" s="78"/>
    <row r="943" ht="15.75" customHeight="1" s="78"/>
    <row r="944" ht="15.75" customHeight="1" s="78"/>
    <row r="945" ht="15.75" customHeight="1" s="78"/>
    <row r="946" ht="15.75" customHeight="1" s="78"/>
    <row r="947" ht="15.75" customHeight="1" s="78"/>
    <row r="948" ht="15.75" customHeight="1" s="78"/>
    <row r="949" ht="15.75" customHeight="1" s="78"/>
    <row r="950" ht="15.75" customHeight="1" s="78"/>
    <row r="951" ht="15.75" customHeight="1" s="78"/>
    <row r="952" ht="15.75" customHeight="1" s="78"/>
    <row r="953" ht="15.75" customHeight="1" s="78"/>
    <row r="954" ht="15.75" customHeight="1" s="78"/>
    <row r="955" ht="15.75" customHeight="1" s="78"/>
    <row r="956" ht="15.75" customHeight="1" s="78"/>
    <row r="957" ht="15.75" customHeight="1" s="78"/>
    <row r="958" ht="15.75" customHeight="1" s="78"/>
    <row r="959" ht="15.75" customHeight="1" s="78"/>
    <row r="960" ht="15.75" customHeight="1" s="78"/>
    <row r="961" ht="15.75" customHeight="1" s="78"/>
    <row r="962" ht="15.75" customHeight="1" s="78"/>
    <row r="963" ht="15.75" customHeight="1" s="78"/>
    <row r="964" ht="15.75" customHeight="1" s="78"/>
    <row r="965" ht="15.75" customHeight="1" s="78"/>
    <row r="966" ht="15.75" customHeight="1" s="78"/>
    <row r="967" ht="15.75" customHeight="1" s="78"/>
    <row r="968" ht="15.75" customHeight="1" s="78"/>
    <row r="969" ht="15.75" customHeight="1" s="78"/>
    <row r="970" ht="15.75" customHeight="1" s="78"/>
    <row r="971" ht="15.75" customHeight="1" s="78"/>
    <row r="972" ht="15.75" customHeight="1" s="78"/>
    <row r="973" ht="15.75" customHeight="1" s="78"/>
    <row r="974" ht="15.75" customHeight="1" s="78"/>
    <row r="975" ht="15.75" customHeight="1" s="78"/>
    <row r="976" ht="15.75" customHeight="1" s="78"/>
    <row r="977" ht="15.75" customHeight="1" s="78"/>
    <row r="978" ht="15.75" customHeight="1" s="78"/>
    <row r="979" ht="15.75" customHeight="1" s="78"/>
    <row r="980" ht="15.75" customHeight="1" s="78"/>
    <row r="981" ht="15.75" customHeight="1" s="78"/>
    <row r="982" ht="15.75" customHeight="1" s="78"/>
    <row r="983" ht="15.75" customHeight="1" s="78"/>
    <row r="984" ht="15.75" customHeight="1" s="78"/>
    <row r="985" ht="15.75" customHeight="1" s="78"/>
    <row r="986" ht="15.75" customHeight="1" s="78"/>
    <row r="987" ht="15.75" customHeight="1" s="78"/>
    <row r="988" ht="15.75" customHeight="1" s="78"/>
    <row r="989" ht="15.75" customHeight="1" s="78"/>
    <row r="990" ht="15.75" customHeight="1" s="78"/>
    <row r="991" ht="15.75" customHeight="1" s="78"/>
    <row r="992" ht="15.75" customHeight="1" s="78"/>
    <row r="993" ht="15.75" customHeight="1" s="78"/>
    <row r="994" ht="15.75" customHeight="1" s="78"/>
    <row r="995" ht="15.75" customHeight="1" s="78"/>
    <row r="996" ht="15.75" customHeight="1" s="78"/>
    <row r="997" ht="15.75" customHeight="1" s="78"/>
    <row r="998" ht="15.75" customHeight="1" s="78"/>
    <row r="999" ht="15.75" customHeight="1" s="78"/>
    <row r="1000" ht="15.75" customHeight="1" s="78"/>
  </sheetData>
  <mergeCells count="19">
    <mergeCell ref="A41:F41"/>
    <mergeCell ref="E43:F43"/>
    <mergeCell ref="E42:F42"/>
    <mergeCell ref="A43:D43"/>
    <mergeCell ref="E48:F48"/>
    <mergeCell ref="E44:F44"/>
    <mergeCell ref="A44:D44"/>
    <mergeCell ref="A48:D48"/>
    <mergeCell ref="A49:D49"/>
    <mergeCell ref="A45:D45"/>
    <mergeCell ref="E46:F46"/>
    <mergeCell ref="E49:F49"/>
    <mergeCell ref="E45:F45"/>
    <mergeCell ref="A46:D46"/>
    <mergeCell ref="A1:F1"/>
    <mergeCell ref="A47:D47"/>
    <mergeCell ref="A42:D42"/>
    <mergeCell ref="A2:M2"/>
    <mergeCell ref="E47:F47"/>
  </mergeCells>
  <dataValidations count="1">
    <dataValidation sqref="F5:F39" showDropDown="0" showInputMessage="0" showErrorMessage="0" allowBlank="1" type="list">
      <formula1>"Pass,Partial,Fail,Not Tested,N/A"</formula1>
    </dataValidation>
  </dataValidations>
  <pageMargins left="0.75" right="0.75" top="1" bottom="1" header="0" footer="0"/>
  <pageSetup orientation="landscape" fitToHeight="0"/>
</worksheet>
</file>

<file path=xl/worksheets/sheet7.xml><?xml version="1.0" encoding="utf-8"?>
<worksheet xmlns="http://schemas.openxmlformats.org/spreadsheetml/2006/main">
  <sheetPr>
    <outlinePr summaryBelow="1" summaryRight="1"/>
    <pageSetUpPr fitToPage="1"/>
  </sheetPr>
  <dimension ref="A1:J22"/>
  <sheetViews>
    <sheetView workbookViewId="0">
      <pane ySplit="4" topLeftCell="A5" activePane="bottomLeft" state="frozen"/>
      <selection pane="bottomLeft" activeCell="A1" sqref="A1"/>
    </sheetView>
  </sheetViews>
  <sheetFormatPr baseColWidth="8" defaultColWidth="14.43" defaultRowHeight="15" customHeight="1"/>
  <cols>
    <col width="6" customWidth="1" style="78" min="1" max="1"/>
    <col width="46" customWidth="1" style="78" min="2" max="2"/>
    <col width="26" customWidth="1" style="78" min="3" max="3"/>
    <col width="9" customWidth="1" style="78" min="4" max="4"/>
    <col width="13.71" customWidth="1" style="78" min="5" max="5"/>
    <col width="9" customWidth="1" style="78" min="6" max="6"/>
    <col width="40" customWidth="1" style="78" min="7" max="7"/>
    <col width="11" customWidth="1" style="78" min="8" max="8"/>
    <col width="8" customWidth="1" style="78" min="9" max="9"/>
    <col width="50" customWidth="1" style="78" min="10" max="10"/>
    <col width="8.710000000000001" customWidth="1" style="78" min="11" max="26"/>
  </cols>
  <sheetData>
    <row r="1">
      <c r="A1" s="76" t="inlineStr">
        <is>
          <t>Financial Transaction Accessibility (Supplemental) Equity Mobile (Equity Bank, Rwanda)</t>
        </is>
      </c>
    </row>
    <row r="2" ht="15" customHeight="1" s="78">
      <c r="A2" s="6" t="inlineStr">
        <is>
          <t>Not part of WCAG. Grounded in GSMA Mobile Money Accessibility Guidelines, ITU-T F.921, and EN 301 549's authentication / real-time-transaction clauses. Blue cells are inputs.</t>
        </is>
      </c>
    </row>
    <row r="4" ht="30" customHeight="1" s="78">
      <c r="A4" s="8" t="inlineStr">
        <is>
          <t>Ref</t>
        </is>
      </c>
      <c r="B4" s="8" t="inlineStr">
        <is>
          <t>Check</t>
        </is>
      </c>
      <c r="C4" s="8" t="inlineStr">
        <is>
          <t>Standard reference</t>
        </is>
      </c>
      <c r="D4" s="8" t="inlineStr">
        <is>
          <t>Weight
(1-3)</t>
        </is>
      </c>
      <c r="E4" s="8" t="inlineStr">
        <is>
          <t>Status</t>
        </is>
      </c>
      <c r="F4" s="8" t="inlineStr">
        <is>
          <t>Status
score</t>
        </is>
      </c>
      <c r="G4" s="8" t="inlineStr">
        <is>
          <t>Notes / Evidence</t>
        </is>
      </c>
      <c r="H4" s="8" t="inlineStr">
        <is>
          <t>Weighted
score</t>
        </is>
      </c>
      <c r="I4" s="18" t="inlineStr">
        <is>
          <t>Tested?</t>
        </is>
      </c>
      <c r="J4" s="8" t="inlineStr">
        <is>
          <t>Recommended Improvement</t>
        </is>
      </c>
    </row>
    <row r="5">
      <c r="A5" s="10" t="inlineStr">
        <is>
          <t>T1</t>
        </is>
      </c>
      <c r="B5" s="17" t="inlineStr">
        <is>
          <t>Transaction confirmation screen states recipient, amount, currency and fee as one clear announced statement before an irreversible send.</t>
        </is>
      </c>
      <c r="C5" s="39" t="inlineStr">
        <is>
          <t>WCAG 3.3.4; GSMA MM Accessibility Guideline 4.2</t>
        </is>
      </c>
      <c r="D5" s="23" t="n">
        <v>3</v>
      </c>
      <c r="E5" s="43" t="inlineStr">
        <is>
          <t>Not Tested</t>
        </is>
      </c>
      <c r="F5" s="15">
        <f>IF(E5="Pass",1,IF(E5="Partial",0.5,IF(E5="Fail",0,0)))</f>
        <v/>
      </c>
      <c r="G5" s="34" t="inlineStr">
        <is>
          <t>No confirm-transfer screen captured in this session.</t>
        </is>
      </c>
      <c r="H5" s="15">
        <f>D5*F5</f>
        <v/>
      </c>
      <c r="I5" s="15">
        <f>IF(OR(E5="Pass",E5="Partial",E5="Fail"),1,0)</f>
        <v/>
      </c>
      <c r="J5" s="62" t="inlineStr">
        <is>
          <t>No fix to prescribe yet - conduct the manual test first to confirm actual status.</t>
        </is>
      </c>
    </row>
    <row r="6">
      <c r="A6" s="22" t="inlineStr">
        <is>
          <t>T2</t>
        </is>
      </c>
      <c r="B6" s="33" t="inlineStr">
        <is>
          <t>Time allowed to enter an OTP/PIN or confirm a transfer can be extended, and is not so short that assistive-tech input causes failure.</t>
        </is>
      </c>
      <c r="C6" s="46" t="inlineStr">
        <is>
          <t>WCAG 2.2.1; EN 301 549 §11.7</t>
        </is>
      </c>
      <c r="D6" s="42" t="n">
        <v>2</v>
      </c>
      <c r="E6" s="50" t="inlineStr">
        <is>
          <t>Not Tested</t>
        </is>
      </c>
      <c r="F6" s="29">
        <f>IF(E6="Pass",1,IF(E6="Partial",0.5,IF(E6="Fail",0,0)))</f>
        <v/>
      </c>
      <c r="G6" s="45" t="inlineStr">
        <is>
          <t>Requires manual timing test with TalkBack enabled.</t>
        </is>
      </c>
      <c r="H6" s="29">
        <f>D6*F6</f>
        <v/>
      </c>
      <c r="I6" s="29">
        <f>IF(OR(E6="Pass",E6="Partial",E6="Fail"),1,0)</f>
        <v/>
      </c>
      <c r="J6" s="57" t="inlineStr">
        <is>
          <t>No fix to prescribe yet - conduct the manual test first to confirm actual status.</t>
        </is>
      </c>
    </row>
    <row r="7">
      <c r="A7" s="10" t="inlineStr">
        <is>
          <t>T3</t>
        </is>
      </c>
      <c r="B7" s="17" t="inlineStr">
        <is>
          <t>Transaction success or failure is announced non-visually (spoken/haptic), not only as an on-screen toast.</t>
        </is>
      </c>
      <c r="C7" s="39" t="inlineStr">
        <is>
          <t>WCAG 4.1.3; GSMA MM Accessibility Guideline 4.4</t>
        </is>
      </c>
      <c r="D7" s="23" t="n">
        <v>3</v>
      </c>
      <c r="E7" s="50" t="inlineStr">
        <is>
          <t>Not Tested</t>
        </is>
      </c>
      <c r="F7" s="15">
        <f>IF(E7="Pass",1,IF(E7="Partial",0.5,IF(E7="Fail",0,0)))</f>
        <v/>
      </c>
      <c r="G7" s="34" t="inlineStr">
        <is>
          <t>Requires manual test; automated scanning cannot capture transient toast messages.</t>
        </is>
      </c>
      <c r="H7" s="15">
        <f>D7*F7</f>
        <v/>
      </c>
      <c r="I7" s="15">
        <f>IF(OR(E7="Pass",E7="Partial",E7="Fail"),1,0)</f>
        <v/>
      </c>
      <c r="J7" s="53" t="inlineStr">
        <is>
          <t>No fix to prescribe yet - conduct the manual test first to confirm actual status.</t>
        </is>
      </c>
    </row>
    <row r="8">
      <c r="A8" s="22" t="inlineStr">
        <is>
          <t>T4</t>
        </is>
      </c>
      <c r="B8" s="33" t="inlineStr">
        <is>
          <t>Digital receipts / statements (SMS, email, in-app PDF) are delivered as accessible text, not a flattened image.</t>
        </is>
      </c>
      <c r="C8" s="46" t="inlineStr">
        <is>
          <t>GSMA MM Accessibility Guideline 5.1</t>
        </is>
      </c>
      <c r="D8" s="42" t="n">
        <v>2</v>
      </c>
      <c r="E8" s="50" t="inlineStr">
        <is>
          <t>Not Tested</t>
        </is>
      </c>
      <c r="F8" s="29">
        <f>IF(E8="Pass",1,IF(E8="Partial",0.5,IF(E8="Fail",0,0)))</f>
        <v/>
      </c>
      <c r="G8" s="45" t="inlineStr">
        <is>
          <t>No statement or receipt export was captured in this session.</t>
        </is>
      </c>
      <c r="H8" s="29">
        <f>D8*F8</f>
        <v/>
      </c>
      <c r="I8" s="29">
        <f>IF(OR(E8="Pass",E8="Partial",E8="Fail"),1,0)</f>
        <v/>
      </c>
      <c r="J8" s="57" t="inlineStr">
        <is>
          <t>No fix to prescribe yet - conduct the manual test first to confirm actual status.</t>
        </is>
      </c>
    </row>
    <row r="9">
      <c r="A9" s="10" t="inlineStr">
        <is>
          <t>T5</t>
        </is>
      </c>
      <c r="B9" s="17" t="inlineStr">
        <is>
          <t>Amounts and currency are unambiguous when read aloud (e.g. 'RWF 1,000' is not mis-announced as a date or misread digit-by-digit).</t>
        </is>
      </c>
      <c r="C9" s="39" t="inlineStr">
        <is>
          <t>ITU-T F.921 §6.3</t>
        </is>
      </c>
      <c r="D9" s="23" t="n">
        <v>2</v>
      </c>
      <c r="E9" s="50" t="inlineStr">
        <is>
          <t>Not Tested</t>
        </is>
      </c>
      <c r="F9" s="15">
        <f>IF(E9="Pass",1,IF(E9="Partial",0.5,IF(E9="Fail",0,0)))</f>
        <v/>
      </c>
      <c r="G9" s="34" t="inlineStr">
        <is>
          <t>Amounts are shown as '0.00 RWF' / '0.00 USD' (code after the number). Forex is shown as 'USD 1 ⇄ RWF 1471.0'. Read-aloud not tested.</t>
        </is>
      </c>
      <c r="H9" s="15">
        <f>D9*F9</f>
        <v/>
      </c>
      <c r="I9" s="15">
        <f>IF(OR(E9="Pass",E9="Partial",E9="Fail"),1,0)</f>
        <v/>
      </c>
      <c r="J9" s="53" t="inlineStr">
        <is>
          <t>No fix to prescribe yet - conduct the manual test first to confirm actual status.</t>
        </is>
      </c>
    </row>
    <row r="10">
      <c r="A10" s="22" t="inlineStr">
        <is>
          <t>T6</t>
        </is>
      </c>
      <c r="B10" s="33" t="inlineStr">
        <is>
          <t>A non-touchscreen channel (USSD, IVR, or agent-assisted banking) exists for users who cannot operate a smartphone app, and that channel is itself usable non-visually.</t>
        </is>
      </c>
      <c r="C10" s="46" t="inlineStr">
        <is>
          <t>GSMA MM Accessibility Guideline 2.1; ITU-D digital financial inclusion guidance</t>
        </is>
      </c>
      <c r="D10" s="42" t="n">
        <v>3</v>
      </c>
      <c r="E10" s="50" t="inlineStr">
        <is>
          <t>Not Tested</t>
        </is>
      </c>
      <c r="F10" s="29">
        <f>IF(E10="Pass",1,IF(E10="Partial",0.5,IF(E10="Fail",0,0)))</f>
        <v/>
      </c>
      <c r="G10" s="45" t="inlineStr">
        <is>
          <t>Out of scope for this app-only scan. Material gap for East Africa: much mobile money usage is USSD/agent-based, not app-based, and this scorecard has not evaluated that channel at all.</t>
        </is>
      </c>
      <c r="H10" s="29">
        <f>D10*F10</f>
        <v/>
      </c>
      <c r="I10" s="29">
        <f>IF(OR(E10="Pass",E10="Partial",E10="Fail"),1,0)</f>
        <v/>
      </c>
      <c r="J10" s="57" t="inlineStr">
        <is>
          <t>No fix to prescribe yet - conduct the manual test first to confirm actual status.</t>
        </is>
      </c>
    </row>
    <row r="11">
      <c r="A11" s="10" t="inlineStr">
        <is>
          <t>T7</t>
        </is>
      </c>
      <c r="B11" s="17" t="inlineStr">
        <is>
          <t>Biometric login is offered as an alternative to a spoken/visible PIN.</t>
        </is>
      </c>
      <c r="C11" s="39" t="inlineStr">
        <is>
          <t>WCAG 3.3.7/3.3.8</t>
        </is>
      </c>
      <c r="D11" s="23" t="n">
        <v>2</v>
      </c>
      <c r="E11" s="50" t="inlineStr">
        <is>
          <t>Pass</t>
        </is>
      </c>
      <c r="F11" s="15">
        <f>IF(E11="Pass",1,IF(E11="Partial",0.5,IF(E11="Fail",0,0)))</f>
        <v/>
      </c>
      <c r="G11" s="34" t="inlineStr">
        <is>
          <t>'Sign in with Touch ID' with a fingerprint icon is shown on the login screen (1, 2).</t>
        </is>
      </c>
      <c r="H11" s="15">
        <f>D11*F11</f>
        <v/>
      </c>
      <c r="I11" s="15">
        <f>IF(OR(E11="Pass",E11="Partial",E11="Fail"),1,0)</f>
        <v/>
      </c>
      <c r="J11" s="53" t="inlineStr">
        <is>
          <t>No action needed on current evidence.</t>
        </is>
      </c>
    </row>
    <row r="12">
      <c r="A12" s="22" t="inlineStr">
        <is>
          <t>T8</t>
        </is>
      </c>
      <c r="B12" s="33" t="inlineStr">
        <is>
          <t>Fraud/security alerts and a dispute or help-escalation path are reachable and readable with a screen reader.</t>
        </is>
      </c>
      <c r="C12" s="46" t="inlineStr">
        <is>
          <t>EN 301 549 §11.8; GSMA MM Accessibility Guideline 4.5</t>
        </is>
      </c>
      <c r="D12" s="42" t="n">
        <v>2</v>
      </c>
      <c r="E12" s="43" t="inlineStr">
        <is>
          <t>Not Tested</t>
        </is>
      </c>
      <c r="F12" s="29">
        <f>IF(E12="Pass",1,IF(E12="Partial",0.5,IF(E12="Fail",0,0)))</f>
        <v/>
      </c>
      <c r="G12" s="45" t="inlineStr">
        <is>
          <t>Only a chat-bubble icon was seen on the login screen. No fraud-alert or dispute path was captured.</t>
        </is>
      </c>
      <c r="H12" s="29">
        <f>D12*F12</f>
        <v/>
      </c>
      <c r="I12" s="29">
        <f>IF(OR(E12="Pass",E12="Partial",E12="Fail"),1,0)</f>
        <v/>
      </c>
      <c r="J12" s="47" t="inlineStr">
        <is>
          <t>No fix to prescribe yet - conduct the manual test first to confirm actual status.</t>
        </is>
      </c>
    </row>
    <row r="13">
      <c r="A13" s="10" t="inlineStr">
        <is>
          <t>T9</t>
        </is>
      </c>
      <c r="B13" s="17" t="inlineStr">
        <is>
          <t>Transaction limits, fees and exchange rates are disclosed as accessible text before confirmation, not only visually.</t>
        </is>
      </c>
      <c r="C13" s="39" t="inlineStr">
        <is>
          <t>WCAG 3.3.4; consumer-protection disclosure norms (e.g. AFI / GSMA)</t>
        </is>
      </c>
      <c r="D13" s="23" t="n">
        <v>3</v>
      </c>
      <c r="E13" s="43" t="inlineStr">
        <is>
          <t>Partial</t>
        </is>
      </c>
      <c r="F13" s="15">
        <f>IF(E13="Pass",1,IF(E13="Partial",0.5,IF(E13="Fail",0,0)))</f>
        <v/>
      </c>
      <c r="G13" s="34" t="inlineStr">
        <is>
          <t>The e-Kash 10M RWF limit is disclosed in plain text before continuing (20). Fees were not observed because no confirm screen was captured.</t>
        </is>
      </c>
      <c r="H13" s="15">
        <f>D13*F13</f>
        <v/>
      </c>
      <c r="I13" s="15">
        <f>IF(OR(E13="Pass",E13="Partial",E13="Fail"),1,0)</f>
        <v/>
      </c>
      <c r="J13" s="62" t="inlineStr">
        <is>
          <t>Show the fee alongside the limit disclosure on the confirm step, as labelled accessible text.</t>
        </is>
      </c>
    </row>
    <row r="14">
      <c r="A14" s="22" t="inlineStr">
        <is>
          <t>T10</t>
        </is>
      </c>
      <c r="B14" s="33" t="inlineStr">
        <is>
          <t>A multi-step transaction does not require re-entering the same information (e.g. phone number typed once, reused for confirmation).</t>
        </is>
      </c>
      <c r="C14" s="46" t="inlineStr">
        <is>
          <t>WCAG 3.3.9</t>
        </is>
      </c>
      <c r="D14" s="42" t="n">
        <v>1</v>
      </c>
      <c r="E14" s="50" t="inlineStr">
        <is>
          <t>Not Tested</t>
        </is>
      </c>
      <c r="F14" s="29">
        <f>IF(E14="Pass",1,IF(E14="Partial",0.5,IF(E14="Fail",0,0)))</f>
        <v/>
      </c>
      <c r="G14" s="45" t="inlineStr">
        <is>
          <t>Contact picker, search, Favourites and Recents exist (14, 18, 21). Full re-entry walkthrough not done.</t>
        </is>
      </c>
      <c r="H14" s="29">
        <f>D14*F14</f>
        <v/>
      </c>
      <c r="I14" s="29">
        <f>IF(OR(E14="Pass",E14="Partial",E14="Fail"),1,0)</f>
        <v/>
      </c>
      <c r="J14" s="57" t="inlineStr">
        <is>
          <t>No fix to prescribe yet - conduct the manual test first to confirm actual status.</t>
        </is>
      </c>
    </row>
    <row r="15">
      <c r="A15" s="10" t="inlineStr">
        <is>
          <t>T11</t>
        </is>
      </c>
      <c r="B15" s="17" t="inlineStr">
        <is>
          <t>Switching app language does not reset or lose an in-progress transaction, and the switcher itself is screen-reader accessible.</t>
        </is>
      </c>
      <c r="C15" s="39" t="inlineStr">
        <is>
          <t>WCAG 3.1.2; EN 301 549 §11.9</t>
        </is>
      </c>
      <c r="D15" s="23" t="n">
        <v>1</v>
      </c>
      <c r="E15" s="50" t="inlineStr">
        <is>
          <t>Not Tested</t>
        </is>
      </c>
      <c r="F15" s="15">
        <f>IF(E15="Pass",1,IF(E15="Partial",0.5,IF(E15="Fail",0,0)))</f>
        <v/>
      </c>
      <c r="G15" s="34" t="inlineStr">
        <is>
          <t>No language selector observed in the captured screens.</t>
        </is>
      </c>
      <c r="H15" s="15">
        <f>D15*F15</f>
        <v/>
      </c>
      <c r="I15" s="15">
        <f>IF(OR(E15="Pass",E15="Partial",E15="Fail"),1,0)</f>
        <v/>
      </c>
      <c r="J15" s="53" t="inlineStr">
        <is>
          <t>No fix to prescribe yet - conduct the manual test first to confirm actual status.</t>
        </is>
      </c>
    </row>
    <row r="16">
      <c r="A16" s="22" t="inlineStr">
        <is>
          <t>T12</t>
        </is>
      </c>
      <c r="B16" s="33" t="inlineStr">
        <is>
          <t>An accessible-format customer support channel (toll-free voice line, etc.) is discoverable for a user who cannot complete a transaction independently.</t>
        </is>
      </c>
      <c r="C16" s="46" t="inlineStr">
        <is>
          <t>GSMA MM Accessibility Guideline 4.5</t>
        </is>
      </c>
      <c r="D16" s="42" t="n">
        <v>2</v>
      </c>
      <c r="E16" s="54" t="inlineStr">
        <is>
          <t>Partial</t>
        </is>
      </c>
      <c r="F16" s="29">
        <f>IF(E16="Pass",1,IF(E16="Partial",0.5,IF(E16="Fail",0,0)))</f>
        <v/>
      </c>
      <c r="G16" s="45" t="inlineStr">
        <is>
          <t>A chat icon is present on the login screen (1-3), but no call / email channel was observed.</t>
        </is>
      </c>
      <c r="H16" s="29">
        <f>D16*F16</f>
        <v/>
      </c>
      <c r="I16" s="29">
        <f>IF(OR(E16="Pass",E16="Partial",E16="Fail"),1,0)</f>
        <v/>
      </c>
      <c r="J16" s="57" t="inlineStr">
        <is>
          <t>Label the chat icon ('Chat with us') and expose a discoverable phone / toll-free support option.</t>
        </is>
      </c>
    </row>
    <row r="18">
      <c r="A18" s="98" t="inlineStr">
        <is>
          <t>TRANSACTION ACCESSIBILITY SCORE</t>
        </is>
      </c>
      <c r="B18" s="92" t="n"/>
      <c r="C18" s="92" t="n"/>
      <c r="D18" s="93" t="n"/>
    </row>
    <row r="19">
      <c r="A19" s="94" t="inlineStr">
        <is>
          <t>Weighted score achieved (sum)</t>
        </is>
      </c>
      <c r="B19" s="92" t="n"/>
      <c r="C19" s="93" t="n"/>
      <c r="D19" s="29">
        <f>SUM(H5:H16)</f>
        <v/>
      </c>
      <c r="E19" s="93" t="n"/>
    </row>
    <row r="20">
      <c r="A20" s="94" t="inlineStr">
        <is>
          <t>Weighted score possible (tested only)</t>
        </is>
      </c>
      <c r="B20" s="92" t="n"/>
      <c r="C20" s="93" t="n"/>
      <c r="D20" s="29">
        <f>SUMPRODUCT(I5:I16*D5:D16)</f>
        <v/>
      </c>
      <c r="E20" s="93" t="n"/>
    </row>
    <row r="21" ht="15.75" customHeight="1" s="78">
      <c r="A21" s="99" t="inlineStr">
        <is>
          <t>TRANSACTION SCORE (0-100)</t>
        </is>
      </c>
      <c r="B21" s="92" t="n"/>
      <c r="C21" s="93" t="n"/>
      <c r="D21" s="96">
        <f>IFERROR(D19/D20*100,0)</f>
        <v/>
      </c>
      <c r="E21" s="93" t="n"/>
    </row>
    <row r="22" ht="15.75" customHeight="1" s="78">
      <c r="A22" s="94" t="inlineStr">
        <is>
          <t>Checks not yet tested (count)</t>
        </is>
      </c>
      <c r="B22" s="92" t="n"/>
      <c r="C22" s="93" t="n"/>
      <c r="D22" s="29">
        <f>COUNTIF(E5:E16,"Not Tested")</f>
        <v/>
      </c>
      <c r="E22" s="93" t="n"/>
    </row>
    <row r="23" ht="15.75" customHeight="1" s="78"/>
    <row r="24" ht="15.75" customHeight="1" s="78"/>
    <row r="25" ht="15.75" customHeight="1" s="78"/>
    <row r="26" ht="15.75" customHeight="1" s="78"/>
    <row r="27" ht="15.75" customHeight="1" s="78"/>
    <row r="28" ht="15.75" customHeight="1" s="78"/>
    <row r="29" ht="15.75" customHeight="1" s="78"/>
    <row r="30" ht="15.75" customHeight="1" s="78"/>
    <row r="31" ht="15.75" customHeight="1" s="78"/>
    <row r="32" ht="15.75" customHeight="1" s="78"/>
    <row r="33" ht="15.75" customHeight="1" s="78"/>
    <row r="34" ht="15.75" customHeight="1" s="78"/>
    <row r="35" ht="15.75" customHeight="1" s="78"/>
    <row r="36" ht="15.75" customHeight="1" s="78"/>
    <row r="37" ht="15.75" customHeight="1" s="78"/>
    <row r="38" ht="15.75" customHeight="1" s="78"/>
    <row r="39" ht="15.75" customHeight="1" s="78"/>
    <row r="40" ht="15.75" customHeight="1" s="78"/>
    <row r="41" ht="15.75" customHeight="1" s="78"/>
    <row r="42" ht="15.75" customHeight="1" s="78"/>
    <row r="43" ht="15.75" customHeight="1" s="78"/>
    <row r="44" ht="15.75" customHeight="1" s="78"/>
    <row r="45" ht="15.75" customHeight="1" s="78"/>
    <row r="46" ht="15.75" customHeight="1" s="78"/>
    <row r="47" ht="15.75" customHeight="1" s="78"/>
    <row r="48" ht="15.75" customHeight="1" s="78"/>
    <row r="49" ht="15.75" customHeight="1" s="78"/>
    <row r="50" ht="15.75" customHeight="1" s="78"/>
    <row r="51" ht="15.75" customHeight="1" s="78"/>
    <row r="52" ht="15.75" customHeight="1" s="78"/>
    <row r="53" ht="15.75" customHeight="1" s="78"/>
    <row r="54" ht="15.75" customHeight="1" s="78"/>
    <row r="55" ht="15.75" customHeight="1" s="78"/>
    <row r="56" ht="15.75" customHeight="1" s="78"/>
    <row r="57" ht="15.75" customHeight="1" s="78"/>
    <row r="58" ht="15.75" customHeight="1" s="78"/>
    <row r="59" ht="15.75" customHeight="1" s="78"/>
    <row r="60" ht="15.75" customHeight="1" s="78"/>
    <row r="61" ht="15.75" customHeight="1" s="78"/>
    <row r="62" ht="15.75" customHeight="1" s="78"/>
    <row r="63" ht="15.75" customHeight="1" s="78"/>
    <row r="64" ht="15.75" customHeight="1" s="78"/>
    <row r="65" ht="15.75" customHeight="1" s="78"/>
    <row r="66" ht="15.75" customHeight="1" s="78"/>
    <row r="67" ht="15.75" customHeight="1" s="78"/>
    <row r="68" ht="15.75" customHeight="1" s="78"/>
    <row r="69" ht="15.75" customHeight="1" s="78"/>
    <row r="70" ht="15.75" customHeight="1" s="78"/>
    <row r="71" ht="15.75" customHeight="1" s="78"/>
    <row r="72" ht="15.75" customHeight="1" s="78"/>
    <row r="73" ht="15.75" customHeight="1" s="78"/>
    <row r="74" ht="15.75" customHeight="1" s="78"/>
    <row r="75" ht="15.75" customHeight="1" s="78"/>
    <row r="76" ht="15.75" customHeight="1" s="78"/>
    <row r="77" ht="15.75" customHeight="1" s="78"/>
    <row r="78" ht="15.75" customHeight="1" s="78"/>
    <row r="79" ht="15.75" customHeight="1" s="78"/>
    <row r="80" ht="15.75" customHeight="1" s="78"/>
    <row r="81" ht="15.75" customHeight="1" s="78"/>
    <row r="82" ht="15.75" customHeight="1" s="78"/>
    <row r="83" ht="15.75" customHeight="1" s="78"/>
    <row r="84" ht="15.75" customHeight="1" s="78"/>
    <row r="85" ht="15.75" customHeight="1" s="78"/>
    <row r="86" ht="15.75" customHeight="1" s="78"/>
    <row r="87" ht="15.75" customHeight="1" s="78"/>
    <row r="88" ht="15.75" customHeight="1" s="78"/>
    <row r="89" ht="15.75" customHeight="1" s="78"/>
    <row r="90" ht="15.75" customHeight="1" s="78"/>
    <row r="91" ht="15.75" customHeight="1" s="78"/>
    <row r="92" ht="15.75" customHeight="1" s="78"/>
    <row r="93" ht="15.75" customHeight="1" s="78"/>
    <row r="94" ht="15.75" customHeight="1" s="78"/>
    <row r="95" ht="15.75" customHeight="1" s="78"/>
    <row r="96" ht="15.75" customHeight="1" s="78"/>
    <row r="97" ht="15.75" customHeight="1" s="78"/>
    <row r="98" ht="15.75" customHeight="1" s="78"/>
    <row r="99" ht="15.75" customHeight="1" s="78"/>
    <row r="100" ht="15.75" customHeight="1" s="78"/>
    <row r="101" ht="15.75" customHeight="1" s="78"/>
    <row r="102" ht="15.75" customHeight="1" s="78"/>
    <row r="103" ht="15.75" customHeight="1" s="78"/>
    <row r="104" ht="15.75" customHeight="1" s="78"/>
    <row r="105" ht="15.75" customHeight="1" s="78"/>
    <row r="106" ht="15.75" customHeight="1" s="78"/>
    <row r="107" ht="15.75" customHeight="1" s="78"/>
    <row r="108" ht="15.75" customHeight="1" s="78"/>
    <row r="109" ht="15.75" customHeight="1" s="78"/>
    <row r="110" ht="15.75" customHeight="1" s="78"/>
    <row r="111" ht="15.75" customHeight="1" s="78"/>
    <row r="112" ht="15.75" customHeight="1" s="78"/>
    <row r="113" ht="15.75" customHeight="1" s="78"/>
    <row r="114" ht="15.75" customHeight="1" s="78"/>
    <row r="115" ht="15.75" customHeight="1" s="78"/>
    <row r="116" ht="15.75" customHeight="1" s="78"/>
    <row r="117" ht="15.75" customHeight="1" s="78"/>
    <row r="118" ht="15.75" customHeight="1" s="78"/>
    <row r="119" ht="15.75" customHeight="1" s="78"/>
    <row r="120" ht="15.75" customHeight="1" s="78"/>
    <row r="121" ht="15.75" customHeight="1" s="78"/>
    <row r="122" ht="15.75" customHeight="1" s="78"/>
    <row r="123" ht="15.75" customHeight="1" s="78"/>
    <row r="124" ht="15.75" customHeight="1" s="78"/>
    <row r="125" ht="15.75" customHeight="1" s="78"/>
    <row r="126" ht="15.75" customHeight="1" s="78"/>
    <row r="127" ht="15.75" customHeight="1" s="78"/>
    <row r="128" ht="15.75" customHeight="1" s="78"/>
    <row r="129" ht="15.75" customHeight="1" s="78"/>
    <row r="130" ht="15.75" customHeight="1" s="78"/>
    <row r="131" ht="15.75" customHeight="1" s="78"/>
    <row r="132" ht="15.75" customHeight="1" s="78"/>
    <row r="133" ht="15.75" customHeight="1" s="78"/>
    <row r="134" ht="15.75" customHeight="1" s="78"/>
    <row r="135" ht="15.75" customHeight="1" s="78"/>
    <row r="136" ht="15.75" customHeight="1" s="78"/>
    <row r="137" ht="15.75" customHeight="1" s="78"/>
    <row r="138" ht="15.75" customHeight="1" s="78"/>
    <row r="139" ht="15.75" customHeight="1" s="78"/>
    <row r="140" ht="15.75" customHeight="1" s="78"/>
    <row r="141" ht="15.75" customHeight="1" s="78"/>
    <row r="142" ht="15.75" customHeight="1" s="78"/>
    <row r="143" ht="15.75" customHeight="1" s="78"/>
    <row r="144" ht="15.75" customHeight="1" s="78"/>
    <row r="145" ht="15.75" customHeight="1" s="78"/>
    <row r="146" ht="15.75" customHeight="1" s="78"/>
    <row r="147" ht="15.75" customHeight="1" s="78"/>
    <row r="148" ht="15.75" customHeight="1" s="78"/>
    <row r="149" ht="15.75" customHeight="1" s="78"/>
    <row r="150" ht="15.75" customHeight="1" s="78"/>
    <row r="151" ht="15.75" customHeight="1" s="78"/>
    <row r="152" ht="15.75" customHeight="1" s="78"/>
    <row r="153" ht="15.75" customHeight="1" s="78"/>
    <row r="154" ht="15.75" customHeight="1" s="78"/>
    <row r="155" ht="15.75" customHeight="1" s="78"/>
    <row r="156" ht="15.75" customHeight="1" s="78"/>
    <row r="157" ht="15.75" customHeight="1" s="78"/>
    <row r="158" ht="15.75" customHeight="1" s="78"/>
    <row r="159" ht="15.75" customHeight="1" s="78"/>
    <row r="160" ht="15.75" customHeight="1" s="78"/>
    <row r="161" ht="15.75" customHeight="1" s="78"/>
    <row r="162" ht="15.75" customHeight="1" s="78"/>
    <row r="163" ht="15.75" customHeight="1" s="78"/>
    <row r="164" ht="15.75" customHeight="1" s="78"/>
    <row r="165" ht="15.75" customHeight="1" s="78"/>
    <row r="166" ht="15.75" customHeight="1" s="78"/>
    <row r="167" ht="15.75" customHeight="1" s="78"/>
    <row r="168" ht="15.75" customHeight="1" s="78"/>
    <row r="169" ht="15.75" customHeight="1" s="78"/>
    <row r="170" ht="15.75" customHeight="1" s="78"/>
    <row r="171" ht="15.75" customHeight="1" s="78"/>
    <row r="172" ht="15.75" customHeight="1" s="78"/>
    <row r="173" ht="15.75" customHeight="1" s="78"/>
    <row r="174" ht="15.75" customHeight="1" s="78"/>
    <row r="175" ht="15.75" customHeight="1" s="78"/>
    <row r="176" ht="15.75" customHeight="1" s="78"/>
    <row r="177" ht="15.75" customHeight="1" s="78"/>
    <row r="178" ht="15.75" customHeight="1" s="78"/>
    <row r="179" ht="15.75" customHeight="1" s="78"/>
    <row r="180" ht="15.75" customHeight="1" s="78"/>
    <row r="181" ht="15.75" customHeight="1" s="78"/>
    <row r="182" ht="15.75" customHeight="1" s="78"/>
    <row r="183" ht="15.75" customHeight="1" s="78"/>
    <row r="184" ht="15.75" customHeight="1" s="78"/>
    <row r="185" ht="15.75" customHeight="1" s="78"/>
    <row r="186" ht="15.75" customHeight="1" s="78"/>
    <row r="187" ht="15.75" customHeight="1" s="78"/>
    <row r="188" ht="15.75" customHeight="1" s="78"/>
    <row r="189" ht="15.75" customHeight="1" s="78"/>
    <row r="190" ht="15.75" customHeight="1" s="78"/>
    <row r="191" ht="15.75" customHeight="1" s="78"/>
    <row r="192" ht="15.75" customHeight="1" s="78"/>
    <row r="193" ht="15.75" customHeight="1" s="78"/>
    <row r="194" ht="15.75" customHeight="1" s="78"/>
    <row r="195" ht="15.75" customHeight="1" s="78"/>
    <row r="196" ht="15.75" customHeight="1" s="78"/>
    <row r="197" ht="15.75" customHeight="1" s="78"/>
    <row r="198" ht="15.75" customHeight="1" s="78"/>
    <row r="199" ht="15.75" customHeight="1" s="78"/>
    <row r="200" ht="15.75" customHeight="1" s="78"/>
    <row r="201" ht="15.75" customHeight="1" s="78"/>
    <row r="202" ht="15.75" customHeight="1" s="78"/>
    <row r="203" ht="15.75" customHeight="1" s="78"/>
    <row r="204" ht="15.75" customHeight="1" s="78"/>
    <row r="205" ht="15.75" customHeight="1" s="78"/>
    <row r="206" ht="15.75" customHeight="1" s="78"/>
    <row r="207" ht="15.75" customHeight="1" s="78"/>
    <row r="208" ht="15.75" customHeight="1" s="78"/>
    <row r="209" ht="15.75" customHeight="1" s="78"/>
    <row r="210" ht="15.75" customHeight="1" s="78"/>
    <row r="211" ht="15.75" customHeight="1" s="78"/>
    <row r="212" ht="15.75" customHeight="1" s="78"/>
    <row r="213" ht="15.75" customHeight="1" s="78"/>
    <row r="214" ht="15.75" customHeight="1" s="78"/>
    <row r="215" ht="15.75" customHeight="1" s="78"/>
    <row r="216" ht="15.75" customHeight="1" s="78"/>
    <row r="217" ht="15.75" customHeight="1" s="78"/>
    <row r="218" ht="15.75" customHeight="1" s="78"/>
    <row r="219" ht="15.75" customHeight="1" s="78"/>
    <row r="220" ht="15.75" customHeight="1" s="78"/>
    <row r="221" ht="15.75" customHeight="1" s="78"/>
    <row r="222" ht="15.75" customHeight="1" s="78"/>
    <row r="223" ht="15.75" customHeight="1" s="78"/>
    <row r="224" ht="15.75" customHeight="1" s="78"/>
    <row r="225" ht="15.75" customHeight="1" s="78"/>
    <row r="226" ht="15.75" customHeight="1" s="78"/>
    <row r="227" ht="15.75" customHeight="1" s="78"/>
    <row r="228" ht="15.75" customHeight="1" s="78"/>
    <row r="229" ht="15.75" customHeight="1" s="78"/>
    <row r="230" ht="15.75" customHeight="1" s="78"/>
    <row r="231" ht="15.75" customHeight="1" s="78"/>
    <row r="232" ht="15.75" customHeight="1" s="78"/>
    <row r="233" ht="15.75" customHeight="1" s="78"/>
    <row r="234" ht="15.75" customHeight="1" s="78"/>
    <row r="235" ht="15.75" customHeight="1" s="78"/>
    <row r="236" ht="15.75" customHeight="1" s="78"/>
    <row r="237" ht="15.75" customHeight="1" s="78"/>
    <row r="238" ht="15.75" customHeight="1" s="78"/>
    <row r="239" ht="15.75" customHeight="1" s="78"/>
    <row r="240" ht="15.75" customHeight="1" s="78"/>
    <row r="241" ht="15.75" customHeight="1" s="78"/>
    <row r="242" ht="15.75" customHeight="1" s="78"/>
    <row r="243" ht="15.75" customHeight="1" s="78"/>
    <row r="244" ht="15.75" customHeight="1" s="78"/>
    <row r="245" ht="15.75" customHeight="1" s="78"/>
    <row r="246" ht="15.75" customHeight="1" s="78"/>
    <row r="247" ht="15.75" customHeight="1" s="78"/>
    <row r="248" ht="15.75" customHeight="1" s="78"/>
    <row r="249" ht="15.75" customHeight="1" s="78"/>
    <row r="250" ht="15.75" customHeight="1" s="78"/>
    <row r="251" ht="15.75" customHeight="1" s="78"/>
    <row r="252" ht="15.75" customHeight="1" s="78"/>
    <row r="253" ht="15.75" customHeight="1" s="78"/>
    <row r="254" ht="15.75" customHeight="1" s="78"/>
    <row r="255" ht="15.75" customHeight="1" s="78"/>
    <row r="256" ht="15.75" customHeight="1" s="78"/>
    <row r="257" ht="15.75" customHeight="1" s="78"/>
    <row r="258" ht="15.75" customHeight="1" s="78"/>
    <row r="259" ht="15.75" customHeight="1" s="78"/>
    <row r="260" ht="15.75" customHeight="1" s="78"/>
    <row r="261" ht="15.75" customHeight="1" s="78"/>
    <row r="262" ht="15.75" customHeight="1" s="78"/>
    <row r="263" ht="15.75" customHeight="1" s="78"/>
    <row r="264" ht="15.75" customHeight="1" s="78"/>
    <row r="265" ht="15.75" customHeight="1" s="78"/>
    <row r="266" ht="15.75" customHeight="1" s="78"/>
    <row r="267" ht="15.75" customHeight="1" s="78"/>
    <row r="268" ht="15.75" customHeight="1" s="78"/>
    <row r="269" ht="15.75" customHeight="1" s="78"/>
    <row r="270" ht="15.75" customHeight="1" s="78"/>
    <row r="271" ht="15.75" customHeight="1" s="78"/>
    <row r="272" ht="15.75" customHeight="1" s="78"/>
    <row r="273" ht="15.75" customHeight="1" s="78"/>
    <row r="274" ht="15.75" customHeight="1" s="78"/>
    <row r="275" ht="15.75" customHeight="1" s="78"/>
    <row r="276" ht="15.75" customHeight="1" s="78"/>
    <row r="277" ht="15.75" customHeight="1" s="78"/>
    <row r="278" ht="15.75" customHeight="1" s="78"/>
    <row r="279" ht="15.75" customHeight="1" s="78"/>
    <row r="280" ht="15.75" customHeight="1" s="78"/>
    <row r="281" ht="15.75" customHeight="1" s="78"/>
    <row r="282" ht="15.75" customHeight="1" s="78"/>
    <row r="283" ht="15.75" customHeight="1" s="78"/>
    <row r="284" ht="15.75" customHeight="1" s="78"/>
    <row r="285" ht="15.75" customHeight="1" s="78"/>
    <row r="286" ht="15.75" customHeight="1" s="78"/>
    <row r="287" ht="15.75" customHeight="1" s="78"/>
    <row r="288" ht="15.75" customHeight="1" s="78"/>
    <row r="289" ht="15.75" customHeight="1" s="78"/>
    <row r="290" ht="15.75" customHeight="1" s="78"/>
    <row r="291" ht="15.75" customHeight="1" s="78"/>
    <row r="292" ht="15.75" customHeight="1" s="78"/>
    <row r="293" ht="15.75" customHeight="1" s="78"/>
    <row r="294" ht="15.75" customHeight="1" s="78"/>
    <row r="295" ht="15.75" customHeight="1" s="78"/>
    <row r="296" ht="15.75" customHeight="1" s="78"/>
    <row r="297" ht="15.75" customHeight="1" s="78"/>
    <row r="298" ht="15.75" customHeight="1" s="78"/>
    <row r="299" ht="15.75" customHeight="1" s="78"/>
    <row r="300" ht="15.75" customHeight="1" s="78"/>
    <row r="301" ht="15.75" customHeight="1" s="78"/>
    <row r="302" ht="15.75" customHeight="1" s="78"/>
    <row r="303" ht="15.75" customHeight="1" s="78"/>
    <row r="304" ht="15.75" customHeight="1" s="78"/>
    <row r="305" ht="15.75" customHeight="1" s="78"/>
    <row r="306" ht="15.75" customHeight="1" s="78"/>
    <row r="307" ht="15.75" customHeight="1" s="78"/>
    <row r="308" ht="15.75" customHeight="1" s="78"/>
    <row r="309" ht="15.75" customHeight="1" s="78"/>
    <row r="310" ht="15.75" customHeight="1" s="78"/>
    <row r="311" ht="15.75" customHeight="1" s="78"/>
    <row r="312" ht="15.75" customHeight="1" s="78"/>
    <row r="313" ht="15.75" customHeight="1" s="78"/>
    <row r="314" ht="15.75" customHeight="1" s="78"/>
    <row r="315" ht="15.75" customHeight="1" s="78"/>
    <row r="316" ht="15.75" customHeight="1" s="78"/>
    <row r="317" ht="15.75" customHeight="1" s="78"/>
    <row r="318" ht="15.75" customHeight="1" s="78"/>
    <row r="319" ht="15.75" customHeight="1" s="78"/>
    <row r="320" ht="15.75" customHeight="1" s="78"/>
    <row r="321" ht="15.75" customHeight="1" s="78"/>
    <row r="322" ht="15.75" customHeight="1" s="78"/>
    <row r="323" ht="15.75" customHeight="1" s="78"/>
    <row r="324" ht="15.75" customHeight="1" s="78"/>
    <row r="325" ht="15.75" customHeight="1" s="78"/>
    <row r="326" ht="15.75" customHeight="1" s="78"/>
    <row r="327" ht="15.75" customHeight="1" s="78"/>
    <row r="328" ht="15.75" customHeight="1" s="78"/>
    <row r="329" ht="15.75" customHeight="1" s="78"/>
    <row r="330" ht="15.75" customHeight="1" s="78"/>
    <row r="331" ht="15.75" customHeight="1" s="78"/>
    <row r="332" ht="15.75" customHeight="1" s="78"/>
    <row r="333" ht="15.75" customHeight="1" s="78"/>
    <row r="334" ht="15.75" customHeight="1" s="78"/>
    <row r="335" ht="15.75" customHeight="1" s="78"/>
    <row r="336" ht="15.75" customHeight="1" s="78"/>
    <row r="337" ht="15.75" customHeight="1" s="78"/>
    <row r="338" ht="15.75" customHeight="1" s="78"/>
    <row r="339" ht="15.75" customHeight="1" s="78"/>
    <row r="340" ht="15.75" customHeight="1" s="78"/>
    <row r="341" ht="15.75" customHeight="1" s="78"/>
    <row r="342" ht="15.75" customHeight="1" s="78"/>
    <row r="343" ht="15.75" customHeight="1" s="78"/>
    <row r="344" ht="15.75" customHeight="1" s="78"/>
    <row r="345" ht="15.75" customHeight="1" s="78"/>
    <row r="346" ht="15.75" customHeight="1" s="78"/>
    <row r="347" ht="15.75" customHeight="1" s="78"/>
    <row r="348" ht="15.75" customHeight="1" s="78"/>
    <row r="349" ht="15.75" customHeight="1" s="78"/>
    <row r="350" ht="15.75" customHeight="1" s="78"/>
    <row r="351" ht="15.75" customHeight="1" s="78"/>
    <row r="352" ht="15.75" customHeight="1" s="78"/>
    <row r="353" ht="15.75" customHeight="1" s="78"/>
    <row r="354" ht="15.75" customHeight="1" s="78"/>
    <row r="355" ht="15.75" customHeight="1" s="78"/>
    <row r="356" ht="15.75" customHeight="1" s="78"/>
    <row r="357" ht="15.75" customHeight="1" s="78"/>
    <row r="358" ht="15.75" customHeight="1" s="78"/>
    <row r="359" ht="15.75" customHeight="1" s="78"/>
    <row r="360" ht="15.75" customHeight="1" s="78"/>
    <row r="361" ht="15.75" customHeight="1" s="78"/>
    <row r="362" ht="15.75" customHeight="1" s="78"/>
    <row r="363" ht="15.75" customHeight="1" s="78"/>
    <row r="364" ht="15.75" customHeight="1" s="78"/>
    <row r="365" ht="15.75" customHeight="1" s="78"/>
    <row r="366" ht="15.75" customHeight="1" s="78"/>
    <row r="367" ht="15.75" customHeight="1" s="78"/>
    <row r="368" ht="15.75" customHeight="1" s="78"/>
    <row r="369" ht="15.75" customHeight="1" s="78"/>
    <row r="370" ht="15.75" customHeight="1" s="78"/>
    <row r="371" ht="15.75" customHeight="1" s="78"/>
    <row r="372" ht="15.75" customHeight="1" s="78"/>
    <row r="373" ht="15.75" customHeight="1" s="78"/>
    <row r="374" ht="15.75" customHeight="1" s="78"/>
    <row r="375" ht="15.75" customHeight="1" s="78"/>
    <row r="376" ht="15.75" customHeight="1" s="78"/>
    <row r="377" ht="15.75" customHeight="1" s="78"/>
    <row r="378" ht="15.75" customHeight="1" s="78"/>
    <row r="379" ht="15.75" customHeight="1" s="78"/>
    <row r="380" ht="15.75" customHeight="1" s="78"/>
    <row r="381" ht="15.75" customHeight="1" s="78"/>
    <row r="382" ht="15.75" customHeight="1" s="78"/>
    <row r="383" ht="15.75" customHeight="1" s="78"/>
    <row r="384" ht="15.75" customHeight="1" s="78"/>
    <row r="385" ht="15.75" customHeight="1" s="78"/>
    <row r="386" ht="15.75" customHeight="1" s="78"/>
    <row r="387" ht="15.75" customHeight="1" s="78"/>
    <row r="388" ht="15.75" customHeight="1" s="78"/>
    <row r="389" ht="15.75" customHeight="1" s="78"/>
    <row r="390" ht="15.75" customHeight="1" s="78"/>
    <row r="391" ht="15.75" customHeight="1" s="78"/>
    <row r="392" ht="15.75" customHeight="1" s="78"/>
    <row r="393" ht="15.75" customHeight="1" s="78"/>
    <row r="394" ht="15.75" customHeight="1" s="78"/>
    <row r="395" ht="15.75" customHeight="1" s="78"/>
    <row r="396" ht="15.75" customHeight="1" s="78"/>
    <row r="397" ht="15.75" customHeight="1" s="78"/>
    <row r="398" ht="15.75" customHeight="1" s="78"/>
    <row r="399" ht="15.75" customHeight="1" s="78"/>
    <row r="400" ht="15.75" customHeight="1" s="78"/>
    <row r="401" ht="15.75" customHeight="1" s="78"/>
    <row r="402" ht="15.75" customHeight="1" s="78"/>
    <row r="403" ht="15.75" customHeight="1" s="78"/>
    <row r="404" ht="15.75" customHeight="1" s="78"/>
    <row r="405" ht="15.75" customHeight="1" s="78"/>
    <row r="406" ht="15.75" customHeight="1" s="78"/>
    <row r="407" ht="15.75" customHeight="1" s="78"/>
    <row r="408" ht="15.75" customHeight="1" s="78"/>
    <row r="409" ht="15.75" customHeight="1" s="78"/>
    <row r="410" ht="15.75" customHeight="1" s="78"/>
    <row r="411" ht="15.75" customHeight="1" s="78"/>
    <row r="412" ht="15.75" customHeight="1" s="78"/>
    <row r="413" ht="15.75" customHeight="1" s="78"/>
    <row r="414" ht="15.75" customHeight="1" s="78"/>
    <row r="415" ht="15.75" customHeight="1" s="78"/>
    <row r="416" ht="15.75" customHeight="1" s="78"/>
    <row r="417" ht="15.75" customHeight="1" s="78"/>
    <row r="418" ht="15.75" customHeight="1" s="78"/>
    <row r="419" ht="15.75" customHeight="1" s="78"/>
    <row r="420" ht="15.75" customHeight="1" s="78"/>
    <row r="421" ht="15.75" customHeight="1" s="78"/>
    <row r="422" ht="15.75" customHeight="1" s="78"/>
    <row r="423" ht="15.75" customHeight="1" s="78"/>
    <row r="424" ht="15.75" customHeight="1" s="78"/>
    <row r="425" ht="15.75" customHeight="1" s="78"/>
    <row r="426" ht="15.75" customHeight="1" s="78"/>
    <row r="427" ht="15.75" customHeight="1" s="78"/>
    <row r="428" ht="15.75" customHeight="1" s="78"/>
    <row r="429" ht="15.75" customHeight="1" s="78"/>
    <row r="430" ht="15.75" customHeight="1" s="78"/>
    <row r="431" ht="15.75" customHeight="1" s="78"/>
    <row r="432" ht="15.75" customHeight="1" s="78"/>
    <row r="433" ht="15.75" customHeight="1" s="78"/>
    <row r="434" ht="15.75" customHeight="1" s="78"/>
    <row r="435" ht="15.75" customHeight="1" s="78"/>
    <row r="436" ht="15.75" customHeight="1" s="78"/>
    <row r="437" ht="15.75" customHeight="1" s="78"/>
    <row r="438" ht="15.75" customHeight="1" s="78"/>
    <row r="439" ht="15.75" customHeight="1" s="78"/>
    <row r="440" ht="15.75" customHeight="1" s="78"/>
    <row r="441" ht="15.75" customHeight="1" s="78"/>
    <row r="442" ht="15.75" customHeight="1" s="78"/>
    <row r="443" ht="15.75" customHeight="1" s="78"/>
    <row r="444" ht="15.75" customHeight="1" s="78"/>
    <row r="445" ht="15.75" customHeight="1" s="78"/>
    <row r="446" ht="15.75" customHeight="1" s="78"/>
    <row r="447" ht="15.75" customHeight="1" s="78"/>
    <row r="448" ht="15.75" customHeight="1" s="78"/>
    <row r="449" ht="15.75" customHeight="1" s="78"/>
    <row r="450" ht="15.75" customHeight="1" s="78"/>
    <row r="451" ht="15.75" customHeight="1" s="78"/>
    <row r="452" ht="15.75" customHeight="1" s="78"/>
    <row r="453" ht="15.75" customHeight="1" s="78"/>
    <row r="454" ht="15.75" customHeight="1" s="78"/>
    <row r="455" ht="15.75" customHeight="1" s="78"/>
    <row r="456" ht="15.75" customHeight="1" s="78"/>
    <row r="457" ht="15.75" customHeight="1" s="78"/>
    <row r="458" ht="15.75" customHeight="1" s="78"/>
    <row r="459" ht="15.75" customHeight="1" s="78"/>
    <row r="460" ht="15.75" customHeight="1" s="78"/>
    <row r="461" ht="15.75" customHeight="1" s="78"/>
    <row r="462" ht="15.75" customHeight="1" s="78"/>
    <row r="463" ht="15.75" customHeight="1" s="78"/>
    <row r="464" ht="15.75" customHeight="1" s="78"/>
    <row r="465" ht="15.75" customHeight="1" s="78"/>
    <row r="466" ht="15.75" customHeight="1" s="78"/>
    <row r="467" ht="15.75" customHeight="1" s="78"/>
    <row r="468" ht="15.75" customHeight="1" s="78"/>
    <row r="469" ht="15.75" customHeight="1" s="78"/>
    <row r="470" ht="15.75" customHeight="1" s="78"/>
    <row r="471" ht="15.75" customHeight="1" s="78"/>
    <row r="472" ht="15.75" customHeight="1" s="78"/>
    <row r="473" ht="15.75" customHeight="1" s="78"/>
    <row r="474" ht="15.75" customHeight="1" s="78"/>
    <row r="475" ht="15.75" customHeight="1" s="78"/>
    <row r="476" ht="15.75" customHeight="1" s="78"/>
    <row r="477" ht="15.75" customHeight="1" s="78"/>
    <row r="478" ht="15.75" customHeight="1" s="78"/>
    <row r="479" ht="15.75" customHeight="1" s="78"/>
    <row r="480" ht="15.75" customHeight="1" s="78"/>
    <row r="481" ht="15.75" customHeight="1" s="78"/>
    <row r="482" ht="15.75" customHeight="1" s="78"/>
    <row r="483" ht="15.75" customHeight="1" s="78"/>
    <row r="484" ht="15.75" customHeight="1" s="78"/>
    <row r="485" ht="15.75" customHeight="1" s="78"/>
    <row r="486" ht="15.75" customHeight="1" s="78"/>
    <row r="487" ht="15.75" customHeight="1" s="78"/>
    <row r="488" ht="15.75" customHeight="1" s="78"/>
    <row r="489" ht="15.75" customHeight="1" s="78"/>
    <row r="490" ht="15.75" customHeight="1" s="78"/>
    <row r="491" ht="15.75" customHeight="1" s="78"/>
    <row r="492" ht="15.75" customHeight="1" s="78"/>
    <row r="493" ht="15.75" customHeight="1" s="78"/>
    <row r="494" ht="15.75" customHeight="1" s="78"/>
    <row r="495" ht="15.75" customHeight="1" s="78"/>
    <row r="496" ht="15.75" customHeight="1" s="78"/>
    <row r="497" ht="15.75" customHeight="1" s="78"/>
    <row r="498" ht="15.75" customHeight="1" s="78"/>
    <row r="499" ht="15.75" customHeight="1" s="78"/>
    <row r="500" ht="15.75" customHeight="1" s="78"/>
    <row r="501" ht="15.75" customHeight="1" s="78"/>
    <row r="502" ht="15.75" customHeight="1" s="78"/>
    <row r="503" ht="15.75" customHeight="1" s="78"/>
    <row r="504" ht="15.75" customHeight="1" s="78"/>
    <row r="505" ht="15.75" customHeight="1" s="78"/>
    <row r="506" ht="15.75" customHeight="1" s="78"/>
    <row r="507" ht="15.75" customHeight="1" s="78"/>
    <row r="508" ht="15.75" customHeight="1" s="78"/>
    <row r="509" ht="15.75" customHeight="1" s="78"/>
    <row r="510" ht="15.75" customHeight="1" s="78"/>
    <row r="511" ht="15.75" customHeight="1" s="78"/>
    <row r="512" ht="15.75" customHeight="1" s="78"/>
    <row r="513" ht="15.75" customHeight="1" s="78"/>
    <row r="514" ht="15.75" customHeight="1" s="78"/>
    <row r="515" ht="15.75" customHeight="1" s="78"/>
    <row r="516" ht="15.75" customHeight="1" s="78"/>
    <row r="517" ht="15.75" customHeight="1" s="78"/>
    <row r="518" ht="15.75" customHeight="1" s="78"/>
    <row r="519" ht="15.75" customHeight="1" s="78"/>
    <row r="520" ht="15.75" customHeight="1" s="78"/>
    <row r="521" ht="15.75" customHeight="1" s="78"/>
    <row r="522" ht="15.75" customHeight="1" s="78"/>
    <row r="523" ht="15.75" customHeight="1" s="78"/>
    <row r="524" ht="15.75" customHeight="1" s="78"/>
    <row r="525" ht="15.75" customHeight="1" s="78"/>
    <row r="526" ht="15.75" customHeight="1" s="78"/>
    <row r="527" ht="15.75" customHeight="1" s="78"/>
    <row r="528" ht="15.75" customHeight="1" s="78"/>
    <row r="529" ht="15.75" customHeight="1" s="78"/>
    <row r="530" ht="15.75" customHeight="1" s="78"/>
    <row r="531" ht="15.75" customHeight="1" s="78"/>
    <row r="532" ht="15.75" customHeight="1" s="78"/>
    <row r="533" ht="15.75" customHeight="1" s="78"/>
    <row r="534" ht="15.75" customHeight="1" s="78"/>
    <row r="535" ht="15.75" customHeight="1" s="78"/>
    <row r="536" ht="15.75" customHeight="1" s="78"/>
    <row r="537" ht="15.75" customHeight="1" s="78"/>
    <row r="538" ht="15.75" customHeight="1" s="78"/>
    <row r="539" ht="15.75" customHeight="1" s="78"/>
    <row r="540" ht="15.75" customHeight="1" s="78"/>
    <row r="541" ht="15.75" customHeight="1" s="78"/>
    <row r="542" ht="15.75" customHeight="1" s="78"/>
    <row r="543" ht="15.75" customHeight="1" s="78"/>
    <row r="544" ht="15.75" customHeight="1" s="78"/>
    <row r="545" ht="15.75" customHeight="1" s="78"/>
    <row r="546" ht="15.75" customHeight="1" s="78"/>
    <row r="547" ht="15.75" customHeight="1" s="78"/>
    <row r="548" ht="15.75" customHeight="1" s="78"/>
    <row r="549" ht="15.75" customHeight="1" s="78"/>
    <row r="550" ht="15.75" customHeight="1" s="78"/>
    <row r="551" ht="15.75" customHeight="1" s="78"/>
    <row r="552" ht="15.75" customHeight="1" s="78"/>
    <row r="553" ht="15.75" customHeight="1" s="78"/>
    <row r="554" ht="15.75" customHeight="1" s="78"/>
    <row r="555" ht="15.75" customHeight="1" s="78"/>
    <row r="556" ht="15.75" customHeight="1" s="78"/>
    <row r="557" ht="15.75" customHeight="1" s="78"/>
    <row r="558" ht="15.75" customHeight="1" s="78"/>
    <row r="559" ht="15.75" customHeight="1" s="78"/>
    <row r="560" ht="15.75" customHeight="1" s="78"/>
    <row r="561" ht="15.75" customHeight="1" s="78"/>
    <row r="562" ht="15.75" customHeight="1" s="78"/>
    <row r="563" ht="15.75" customHeight="1" s="78"/>
    <row r="564" ht="15.75" customHeight="1" s="78"/>
    <row r="565" ht="15.75" customHeight="1" s="78"/>
    <row r="566" ht="15.75" customHeight="1" s="78"/>
    <row r="567" ht="15.75" customHeight="1" s="78"/>
    <row r="568" ht="15.75" customHeight="1" s="78"/>
    <row r="569" ht="15.75" customHeight="1" s="78"/>
    <row r="570" ht="15.75" customHeight="1" s="78"/>
    <row r="571" ht="15.75" customHeight="1" s="78"/>
    <row r="572" ht="15.75" customHeight="1" s="78"/>
    <row r="573" ht="15.75" customHeight="1" s="78"/>
    <row r="574" ht="15.75" customHeight="1" s="78"/>
    <row r="575" ht="15.75" customHeight="1" s="78"/>
    <row r="576" ht="15.75" customHeight="1" s="78"/>
    <row r="577" ht="15.75" customHeight="1" s="78"/>
    <row r="578" ht="15.75" customHeight="1" s="78"/>
    <row r="579" ht="15.75" customHeight="1" s="78"/>
    <row r="580" ht="15.75" customHeight="1" s="78"/>
    <row r="581" ht="15.75" customHeight="1" s="78"/>
    <row r="582" ht="15.75" customHeight="1" s="78"/>
    <row r="583" ht="15.75" customHeight="1" s="78"/>
    <row r="584" ht="15.75" customHeight="1" s="78"/>
    <row r="585" ht="15.75" customHeight="1" s="78"/>
    <row r="586" ht="15.75" customHeight="1" s="78"/>
    <row r="587" ht="15.75" customHeight="1" s="78"/>
    <row r="588" ht="15.75" customHeight="1" s="78"/>
    <row r="589" ht="15.75" customHeight="1" s="78"/>
    <row r="590" ht="15.75" customHeight="1" s="78"/>
    <row r="591" ht="15.75" customHeight="1" s="78"/>
    <row r="592" ht="15.75" customHeight="1" s="78"/>
    <row r="593" ht="15.75" customHeight="1" s="78"/>
    <row r="594" ht="15.75" customHeight="1" s="78"/>
    <row r="595" ht="15.75" customHeight="1" s="78"/>
    <row r="596" ht="15.75" customHeight="1" s="78"/>
    <row r="597" ht="15.75" customHeight="1" s="78"/>
    <row r="598" ht="15.75" customHeight="1" s="78"/>
    <row r="599" ht="15.75" customHeight="1" s="78"/>
    <row r="600" ht="15.75" customHeight="1" s="78"/>
    <row r="601" ht="15.75" customHeight="1" s="78"/>
    <row r="602" ht="15.75" customHeight="1" s="78"/>
    <row r="603" ht="15.75" customHeight="1" s="78"/>
    <row r="604" ht="15.75" customHeight="1" s="78"/>
    <row r="605" ht="15.75" customHeight="1" s="78"/>
    <row r="606" ht="15.75" customHeight="1" s="78"/>
    <row r="607" ht="15.75" customHeight="1" s="78"/>
    <row r="608" ht="15.75" customHeight="1" s="78"/>
    <row r="609" ht="15.75" customHeight="1" s="78"/>
    <row r="610" ht="15.75" customHeight="1" s="78"/>
    <row r="611" ht="15.75" customHeight="1" s="78"/>
    <row r="612" ht="15.75" customHeight="1" s="78"/>
    <row r="613" ht="15.75" customHeight="1" s="78"/>
    <row r="614" ht="15.75" customHeight="1" s="78"/>
    <row r="615" ht="15.75" customHeight="1" s="78"/>
    <row r="616" ht="15.75" customHeight="1" s="78"/>
    <row r="617" ht="15.75" customHeight="1" s="78"/>
    <row r="618" ht="15.75" customHeight="1" s="78"/>
    <row r="619" ht="15.75" customHeight="1" s="78"/>
    <row r="620" ht="15.75" customHeight="1" s="78"/>
    <row r="621" ht="15.75" customHeight="1" s="78"/>
    <row r="622" ht="15.75" customHeight="1" s="78"/>
    <row r="623" ht="15.75" customHeight="1" s="78"/>
    <row r="624" ht="15.75" customHeight="1" s="78"/>
    <row r="625" ht="15.75" customHeight="1" s="78"/>
    <row r="626" ht="15.75" customHeight="1" s="78"/>
    <row r="627" ht="15.75" customHeight="1" s="78"/>
    <row r="628" ht="15.75" customHeight="1" s="78"/>
    <row r="629" ht="15.75" customHeight="1" s="78"/>
    <row r="630" ht="15.75" customHeight="1" s="78"/>
    <row r="631" ht="15.75" customHeight="1" s="78"/>
    <row r="632" ht="15.75" customHeight="1" s="78"/>
    <row r="633" ht="15.75" customHeight="1" s="78"/>
    <row r="634" ht="15.75" customHeight="1" s="78"/>
    <row r="635" ht="15.75" customHeight="1" s="78"/>
    <row r="636" ht="15.75" customHeight="1" s="78"/>
    <row r="637" ht="15.75" customHeight="1" s="78"/>
    <row r="638" ht="15.75" customHeight="1" s="78"/>
    <row r="639" ht="15.75" customHeight="1" s="78"/>
    <row r="640" ht="15.75" customHeight="1" s="78"/>
    <row r="641" ht="15.75" customHeight="1" s="78"/>
    <row r="642" ht="15.75" customHeight="1" s="78"/>
    <row r="643" ht="15.75" customHeight="1" s="78"/>
    <row r="644" ht="15.75" customHeight="1" s="78"/>
    <row r="645" ht="15.75" customHeight="1" s="78"/>
    <row r="646" ht="15.75" customHeight="1" s="78"/>
    <row r="647" ht="15.75" customHeight="1" s="78"/>
    <row r="648" ht="15.75" customHeight="1" s="78"/>
    <row r="649" ht="15.75" customHeight="1" s="78"/>
    <row r="650" ht="15.75" customHeight="1" s="78"/>
    <row r="651" ht="15.75" customHeight="1" s="78"/>
    <row r="652" ht="15.75" customHeight="1" s="78"/>
    <row r="653" ht="15.75" customHeight="1" s="78"/>
    <row r="654" ht="15.75" customHeight="1" s="78"/>
    <row r="655" ht="15.75" customHeight="1" s="78"/>
    <row r="656" ht="15.75" customHeight="1" s="78"/>
    <row r="657" ht="15.75" customHeight="1" s="78"/>
    <row r="658" ht="15.75" customHeight="1" s="78"/>
    <row r="659" ht="15.75" customHeight="1" s="78"/>
    <row r="660" ht="15.75" customHeight="1" s="78"/>
    <row r="661" ht="15.75" customHeight="1" s="78"/>
    <row r="662" ht="15.75" customHeight="1" s="78"/>
    <row r="663" ht="15.75" customHeight="1" s="78"/>
    <row r="664" ht="15.75" customHeight="1" s="78"/>
    <row r="665" ht="15.75" customHeight="1" s="78"/>
    <row r="666" ht="15.75" customHeight="1" s="78"/>
    <row r="667" ht="15.75" customHeight="1" s="78"/>
    <row r="668" ht="15.75" customHeight="1" s="78"/>
    <row r="669" ht="15.75" customHeight="1" s="78"/>
    <row r="670" ht="15.75" customHeight="1" s="78"/>
    <row r="671" ht="15.75" customHeight="1" s="78"/>
    <row r="672" ht="15.75" customHeight="1" s="78"/>
    <row r="673" ht="15.75" customHeight="1" s="78"/>
    <row r="674" ht="15.75" customHeight="1" s="78"/>
    <row r="675" ht="15.75" customHeight="1" s="78"/>
    <row r="676" ht="15.75" customHeight="1" s="78"/>
    <row r="677" ht="15.75" customHeight="1" s="78"/>
    <row r="678" ht="15.75" customHeight="1" s="78"/>
    <row r="679" ht="15.75" customHeight="1" s="78"/>
    <row r="680" ht="15.75" customHeight="1" s="78"/>
    <row r="681" ht="15.75" customHeight="1" s="78"/>
    <row r="682" ht="15.75" customHeight="1" s="78"/>
    <row r="683" ht="15.75" customHeight="1" s="78"/>
    <row r="684" ht="15.75" customHeight="1" s="78"/>
    <row r="685" ht="15.75" customHeight="1" s="78"/>
    <row r="686" ht="15.75" customHeight="1" s="78"/>
    <row r="687" ht="15.75" customHeight="1" s="78"/>
    <row r="688" ht="15.75" customHeight="1" s="78"/>
    <row r="689" ht="15.75" customHeight="1" s="78"/>
    <row r="690" ht="15.75" customHeight="1" s="78"/>
    <row r="691" ht="15.75" customHeight="1" s="78"/>
    <row r="692" ht="15.75" customHeight="1" s="78"/>
    <row r="693" ht="15.75" customHeight="1" s="78"/>
    <row r="694" ht="15.75" customHeight="1" s="78"/>
    <row r="695" ht="15.75" customHeight="1" s="78"/>
    <row r="696" ht="15.75" customHeight="1" s="78"/>
    <row r="697" ht="15.75" customHeight="1" s="78"/>
    <row r="698" ht="15.75" customHeight="1" s="78"/>
    <row r="699" ht="15.75" customHeight="1" s="78"/>
    <row r="700" ht="15.75" customHeight="1" s="78"/>
    <row r="701" ht="15.75" customHeight="1" s="78"/>
    <row r="702" ht="15.75" customHeight="1" s="78"/>
    <row r="703" ht="15.75" customHeight="1" s="78"/>
    <row r="704" ht="15.75" customHeight="1" s="78"/>
    <row r="705" ht="15.75" customHeight="1" s="78"/>
    <row r="706" ht="15.75" customHeight="1" s="78"/>
    <row r="707" ht="15.75" customHeight="1" s="78"/>
    <row r="708" ht="15.75" customHeight="1" s="78"/>
    <row r="709" ht="15.75" customHeight="1" s="78"/>
    <row r="710" ht="15.75" customHeight="1" s="78"/>
    <row r="711" ht="15.75" customHeight="1" s="78"/>
    <row r="712" ht="15.75" customHeight="1" s="78"/>
    <row r="713" ht="15.75" customHeight="1" s="78"/>
    <row r="714" ht="15.75" customHeight="1" s="78"/>
    <row r="715" ht="15.75" customHeight="1" s="78"/>
    <row r="716" ht="15.75" customHeight="1" s="78"/>
    <row r="717" ht="15.75" customHeight="1" s="78"/>
    <row r="718" ht="15.75" customHeight="1" s="78"/>
    <row r="719" ht="15.75" customHeight="1" s="78"/>
    <row r="720" ht="15.75" customHeight="1" s="78"/>
    <row r="721" ht="15.75" customHeight="1" s="78"/>
    <row r="722" ht="15.75" customHeight="1" s="78"/>
    <row r="723" ht="15.75" customHeight="1" s="78"/>
    <row r="724" ht="15.75" customHeight="1" s="78"/>
    <row r="725" ht="15.75" customHeight="1" s="78"/>
    <row r="726" ht="15.75" customHeight="1" s="78"/>
    <row r="727" ht="15.75" customHeight="1" s="78"/>
    <row r="728" ht="15.75" customHeight="1" s="78"/>
    <row r="729" ht="15.75" customHeight="1" s="78"/>
    <row r="730" ht="15.75" customHeight="1" s="78"/>
    <row r="731" ht="15.75" customHeight="1" s="78"/>
    <row r="732" ht="15.75" customHeight="1" s="78"/>
    <row r="733" ht="15.75" customHeight="1" s="78"/>
    <row r="734" ht="15.75" customHeight="1" s="78"/>
    <row r="735" ht="15.75" customHeight="1" s="78"/>
    <row r="736" ht="15.75" customHeight="1" s="78"/>
    <row r="737" ht="15.75" customHeight="1" s="78"/>
    <row r="738" ht="15.75" customHeight="1" s="78"/>
    <row r="739" ht="15.75" customHeight="1" s="78"/>
    <row r="740" ht="15.75" customHeight="1" s="78"/>
    <row r="741" ht="15.75" customHeight="1" s="78"/>
    <row r="742" ht="15.75" customHeight="1" s="78"/>
    <row r="743" ht="15.75" customHeight="1" s="78"/>
    <row r="744" ht="15.75" customHeight="1" s="78"/>
    <row r="745" ht="15.75" customHeight="1" s="78"/>
    <row r="746" ht="15.75" customHeight="1" s="78"/>
    <row r="747" ht="15.75" customHeight="1" s="78"/>
    <row r="748" ht="15.75" customHeight="1" s="78"/>
    <row r="749" ht="15.75" customHeight="1" s="78"/>
    <row r="750" ht="15.75" customHeight="1" s="78"/>
    <row r="751" ht="15.75" customHeight="1" s="78"/>
    <row r="752" ht="15.75" customHeight="1" s="78"/>
    <row r="753" ht="15.75" customHeight="1" s="78"/>
    <row r="754" ht="15.75" customHeight="1" s="78"/>
    <row r="755" ht="15.75" customHeight="1" s="78"/>
    <row r="756" ht="15.75" customHeight="1" s="78"/>
    <row r="757" ht="15.75" customHeight="1" s="78"/>
    <row r="758" ht="15.75" customHeight="1" s="78"/>
    <row r="759" ht="15.75" customHeight="1" s="78"/>
    <row r="760" ht="15.75" customHeight="1" s="78"/>
    <row r="761" ht="15.75" customHeight="1" s="78"/>
    <row r="762" ht="15.75" customHeight="1" s="78"/>
    <row r="763" ht="15.75" customHeight="1" s="78"/>
    <row r="764" ht="15.75" customHeight="1" s="78"/>
    <row r="765" ht="15.75" customHeight="1" s="78"/>
    <row r="766" ht="15.75" customHeight="1" s="78"/>
    <row r="767" ht="15.75" customHeight="1" s="78"/>
    <row r="768" ht="15.75" customHeight="1" s="78"/>
    <row r="769" ht="15.75" customHeight="1" s="78"/>
    <row r="770" ht="15.75" customHeight="1" s="78"/>
    <row r="771" ht="15.75" customHeight="1" s="78"/>
    <row r="772" ht="15.75" customHeight="1" s="78"/>
    <row r="773" ht="15.75" customHeight="1" s="78"/>
    <row r="774" ht="15.75" customHeight="1" s="78"/>
    <row r="775" ht="15.75" customHeight="1" s="78"/>
    <row r="776" ht="15.75" customHeight="1" s="78"/>
    <row r="777" ht="15.75" customHeight="1" s="78"/>
    <row r="778" ht="15.75" customHeight="1" s="78"/>
    <row r="779" ht="15.75" customHeight="1" s="78"/>
    <row r="780" ht="15.75" customHeight="1" s="78"/>
    <row r="781" ht="15.75" customHeight="1" s="78"/>
    <row r="782" ht="15.75" customHeight="1" s="78"/>
    <row r="783" ht="15.75" customHeight="1" s="78"/>
    <row r="784" ht="15.75" customHeight="1" s="78"/>
    <row r="785" ht="15.75" customHeight="1" s="78"/>
    <row r="786" ht="15.75" customHeight="1" s="78"/>
    <row r="787" ht="15.75" customHeight="1" s="78"/>
    <row r="788" ht="15.75" customHeight="1" s="78"/>
    <row r="789" ht="15.75" customHeight="1" s="78"/>
    <row r="790" ht="15.75" customHeight="1" s="78"/>
    <row r="791" ht="15.75" customHeight="1" s="78"/>
    <row r="792" ht="15.75" customHeight="1" s="78"/>
    <row r="793" ht="15.75" customHeight="1" s="78"/>
    <row r="794" ht="15.75" customHeight="1" s="78"/>
    <row r="795" ht="15.75" customHeight="1" s="78"/>
    <row r="796" ht="15.75" customHeight="1" s="78"/>
    <row r="797" ht="15.75" customHeight="1" s="78"/>
    <row r="798" ht="15.75" customHeight="1" s="78"/>
    <row r="799" ht="15.75" customHeight="1" s="78"/>
    <row r="800" ht="15.75" customHeight="1" s="78"/>
    <row r="801" ht="15.75" customHeight="1" s="78"/>
    <row r="802" ht="15.75" customHeight="1" s="78"/>
    <row r="803" ht="15.75" customHeight="1" s="78"/>
    <row r="804" ht="15.75" customHeight="1" s="78"/>
    <row r="805" ht="15.75" customHeight="1" s="78"/>
    <row r="806" ht="15.75" customHeight="1" s="78"/>
    <row r="807" ht="15.75" customHeight="1" s="78"/>
    <row r="808" ht="15.75" customHeight="1" s="78"/>
    <row r="809" ht="15.75" customHeight="1" s="78"/>
    <row r="810" ht="15.75" customHeight="1" s="78"/>
    <row r="811" ht="15.75" customHeight="1" s="78"/>
    <row r="812" ht="15.75" customHeight="1" s="78"/>
    <row r="813" ht="15.75" customHeight="1" s="78"/>
    <row r="814" ht="15.75" customHeight="1" s="78"/>
    <row r="815" ht="15.75" customHeight="1" s="78"/>
    <row r="816" ht="15.75" customHeight="1" s="78"/>
    <row r="817" ht="15.75" customHeight="1" s="78"/>
    <row r="818" ht="15.75" customHeight="1" s="78"/>
    <row r="819" ht="15.75" customHeight="1" s="78"/>
    <row r="820" ht="15.75" customHeight="1" s="78"/>
    <row r="821" ht="15.75" customHeight="1" s="78"/>
    <row r="822" ht="15.75" customHeight="1" s="78"/>
    <row r="823" ht="15.75" customHeight="1" s="78"/>
    <row r="824" ht="15.75" customHeight="1" s="78"/>
    <row r="825" ht="15.75" customHeight="1" s="78"/>
    <row r="826" ht="15.75" customHeight="1" s="78"/>
    <row r="827" ht="15.75" customHeight="1" s="78"/>
    <row r="828" ht="15.75" customHeight="1" s="78"/>
    <row r="829" ht="15.75" customHeight="1" s="78"/>
    <row r="830" ht="15.75" customHeight="1" s="78"/>
    <row r="831" ht="15.75" customHeight="1" s="78"/>
    <row r="832" ht="15.75" customHeight="1" s="78"/>
    <row r="833" ht="15.75" customHeight="1" s="78"/>
    <row r="834" ht="15.75" customHeight="1" s="78"/>
    <row r="835" ht="15.75" customHeight="1" s="78"/>
    <row r="836" ht="15.75" customHeight="1" s="78"/>
    <row r="837" ht="15.75" customHeight="1" s="78"/>
    <row r="838" ht="15.75" customHeight="1" s="78"/>
    <row r="839" ht="15.75" customHeight="1" s="78"/>
    <row r="840" ht="15.75" customHeight="1" s="78"/>
    <row r="841" ht="15.75" customHeight="1" s="78"/>
    <row r="842" ht="15.75" customHeight="1" s="78"/>
    <row r="843" ht="15.75" customHeight="1" s="78"/>
    <row r="844" ht="15.75" customHeight="1" s="78"/>
    <row r="845" ht="15.75" customHeight="1" s="78"/>
    <row r="846" ht="15.75" customHeight="1" s="78"/>
    <row r="847" ht="15.75" customHeight="1" s="78"/>
    <row r="848" ht="15.75" customHeight="1" s="78"/>
    <row r="849" ht="15.75" customHeight="1" s="78"/>
    <row r="850" ht="15.75" customHeight="1" s="78"/>
    <row r="851" ht="15.75" customHeight="1" s="78"/>
    <row r="852" ht="15.75" customHeight="1" s="78"/>
    <row r="853" ht="15.75" customHeight="1" s="78"/>
    <row r="854" ht="15.75" customHeight="1" s="78"/>
    <row r="855" ht="15.75" customHeight="1" s="78"/>
    <row r="856" ht="15.75" customHeight="1" s="78"/>
    <row r="857" ht="15.75" customHeight="1" s="78"/>
    <row r="858" ht="15.75" customHeight="1" s="78"/>
    <row r="859" ht="15.75" customHeight="1" s="78"/>
    <row r="860" ht="15.75" customHeight="1" s="78"/>
    <row r="861" ht="15.75" customHeight="1" s="78"/>
    <row r="862" ht="15.75" customHeight="1" s="78"/>
    <row r="863" ht="15.75" customHeight="1" s="78"/>
    <row r="864" ht="15.75" customHeight="1" s="78"/>
    <row r="865" ht="15.75" customHeight="1" s="78"/>
    <row r="866" ht="15.75" customHeight="1" s="78"/>
    <row r="867" ht="15.75" customHeight="1" s="78"/>
    <row r="868" ht="15.75" customHeight="1" s="78"/>
    <row r="869" ht="15.75" customHeight="1" s="78"/>
    <row r="870" ht="15.75" customHeight="1" s="78"/>
    <row r="871" ht="15.75" customHeight="1" s="78"/>
    <row r="872" ht="15.75" customHeight="1" s="78"/>
    <row r="873" ht="15.75" customHeight="1" s="78"/>
    <row r="874" ht="15.75" customHeight="1" s="78"/>
    <row r="875" ht="15.75" customHeight="1" s="78"/>
    <row r="876" ht="15.75" customHeight="1" s="78"/>
    <row r="877" ht="15.75" customHeight="1" s="78"/>
    <row r="878" ht="15.75" customHeight="1" s="78"/>
    <row r="879" ht="15.75" customHeight="1" s="78"/>
    <row r="880" ht="15.75" customHeight="1" s="78"/>
    <row r="881" ht="15.75" customHeight="1" s="78"/>
    <row r="882" ht="15.75" customHeight="1" s="78"/>
    <row r="883" ht="15.75" customHeight="1" s="78"/>
    <row r="884" ht="15.75" customHeight="1" s="78"/>
    <row r="885" ht="15.75" customHeight="1" s="78"/>
    <row r="886" ht="15.75" customHeight="1" s="78"/>
    <row r="887" ht="15.75" customHeight="1" s="78"/>
    <row r="888" ht="15.75" customHeight="1" s="78"/>
    <row r="889" ht="15.75" customHeight="1" s="78"/>
    <row r="890" ht="15.75" customHeight="1" s="78"/>
    <row r="891" ht="15.75" customHeight="1" s="78"/>
    <row r="892" ht="15.75" customHeight="1" s="78"/>
    <row r="893" ht="15.75" customHeight="1" s="78"/>
    <row r="894" ht="15.75" customHeight="1" s="78"/>
    <row r="895" ht="15.75" customHeight="1" s="78"/>
    <row r="896" ht="15.75" customHeight="1" s="78"/>
    <row r="897" ht="15.75" customHeight="1" s="78"/>
    <row r="898" ht="15.75" customHeight="1" s="78"/>
    <row r="899" ht="15.75" customHeight="1" s="78"/>
    <row r="900" ht="15.75" customHeight="1" s="78"/>
    <row r="901" ht="15.75" customHeight="1" s="78"/>
    <row r="902" ht="15.75" customHeight="1" s="78"/>
    <row r="903" ht="15.75" customHeight="1" s="78"/>
    <row r="904" ht="15.75" customHeight="1" s="78"/>
    <row r="905" ht="15.75" customHeight="1" s="78"/>
    <row r="906" ht="15.75" customHeight="1" s="78"/>
    <row r="907" ht="15.75" customHeight="1" s="78"/>
    <row r="908" ht="15.75" customHeight="1" s="78"/>
    <row r="909" ht="15.75" customHeight="1" s="78"/>
    <row r="910" ht="15.75" customHeight="1" s="78"/>
    <row r="911" ht="15.75" customHeight="1" s="78"/>
    <row r="912" ht="15.75" customHeight="1" s="78"/>
    <row r="913" ht="15.75" customHeight="1" s="78"/>
    <row r="914" ht="15.75" customHeight="1" s="78"/>
    <row r="915" ht="15.75" customHeight="1" s="78"/>
    <row r="916" ht="15.75" customHeight="1" s="78"/>
    <row r="917" ht="15.75" customHeight="1" s="78"/>
    <row r="918" ht="15.75" customHeight="1" s="78"/>
    <row r="919" ht="15.75" customHeight="1" s="78"/>
    <row r="920" ht="15.75" customHeight="1" s="78"/>
    <row r="921" ht="15.75" customHeight="1" s="78"/>
    <row r="922" ht="15.75" customHeight="1" s="78"/>
    <row r="923" ht="15.75" customHeight="1" s="78"/>
    <row r="924" ht="15.75" customHeight="1" s="78"/>
    <row r="925" ht="15.75" customHeight="1" s="78"/>
    <row r="926" ht="15.75" customHeight="1" s="78"/>
    <row r="927" ht="15.75" customHeight="1" s="78"/>
    <row r="928" ht="15.75" customHeight="1" s="78"/>
    <row r="929" ht="15.75" customHeight="1" s="78"/>
    <row r="930" ht="15.75" customHeight="1" s="78"/>
    <row r="931" ht="15.75" customHeight="1" s="78"/>
    <row r="932" ht="15.75" customHeight="1" s="78"/>
    <row r="933" ht="15.75" customHeight="1" s="78"/>
    <row r="934" ht="15.75" customHeight="1" s="78"/>
    <row r="935" ht="15.75" customHeight="1" s="78"/>
    <row r="936" ht="15.75" customHeight="1" s="78"/>
    <row r="937" ht="15.75" customHeight="1" s="78"/>
    <row r="938" ht="15.75" customHeight="1" s="78"/>
    <row r="939" ht="15.75" customHeight="1" s="78"/>
    <row r="940" ht="15.75" customHeight="1" s="78"/>
    <row r="941" ht="15.75" customHeight="1" s="78"/>
    <row r="942" ht="15.75" customHeight="1" s="78"/>
    <row r="943" ht="15.75" customHeight="1" s="78"/>
    <row r="944" ht="15.75" customHeight="1" s="78"/>
    <row r="945" ht="15.75" customHeight="1" s="78"/>
    <row r="946" ht="15.75" customHeight="1" s="78"/>
    <row r="947" ht="15.75" customHeight="1" s="78"/>
    <row r="948" ht="15.75" customHeight="1" s="78"/>
    <row r="949" ht="15.75" customHeight="1" s="78"/>
    <row r="950" ht="15.75" customHeight="1" s="78"/>
    <row r="951" ht="15.75" customHeight="1" s="78"/>
    <row r="952" ht="15.75" customHeight="1" s="78"/>
    <row r="953" ht="15.75" customHeight="1" s="78"/>
    <row r="954" ht="15.75" customHeight="1" s="78"/>
    <row r="955" ht="15.75" customHeight="1" s="78"/>
    <row r="956" ht="15.75" customHeight="1" s="78"/>
    <row r="957" ht="15.75" customHeight="1" s="78"/>
    <row r="958" ht="15.75" customHeight="1" s="78"/>
    <row r="959" ht="15.75" customHeight="1" s="78"/>
    <row r="960" ht="15.75" customHeight="1" s="78"/>
    <row r="961" ht="15.75" customHeight="1" s="78"/>
    <row r="962" ht="15.75" customHeight="1" s="78"/>
    <row r="963" ht="15.75" customHeight="1" s="78"/>
    <row r="964" ht="15.75" customHeight="1" s="78"/>
    <row r="965" ht="15.75" customHeight="1" s="78"/>
    <row r="966" ht="15.75" customHeight="1" s="78"/>
    <row r="967" ht="15.75" customHeight="1" s="78"/>
    <row r="968" ht="15.75" customHeight="1" s="78"/>
    <row r="969" ht="15.75" customHeight="1" s="78"/>
    <row r="970" ht="15.75" customHeight="1" s="78"/>
    <row r="971" ht="15.75" customHeight="1" s="78"/>
    <row r="972" ht="15.75" customHeight="1" s="78"/>
    <row r="973" ht="15.75" customHeight="1" s="78"/>
    <row r="974" ht="15.75" customHeight="1" s="78"/>
    <row r="975" ht="15.75" customHeight="1" s="78"/>
    <row r="976" ht="15.75" customHeight="1" s="78"/>
    <row r="977" ht="15.75" customHeight="1" s="78"/>
    <row r="978" ht="15.75" customHeight="1" s="78"/>
    <row r="979" ht="15.75" customHeight="1" s="78"/>
    <row r="980" ht="15.75" customHeight="1" s="78"/>
    <row r="981" ht="15.75" customHeight="1" s="78"/>
    <row r="982" ht="15.75" customHeight="1" s="78"/>
    <row r="983" ht="15.75" customHeight="1" s="78"/>
    <row r="984" ht="15.75" customHeight="1" s="78"/>
    <row r="985" ht="15.75" customHeight="1" s="78"/>
    <row r="986" ht="15.75" customHeight="1" s="78"/>
    <row r="987" ht="15.75" customHeight="1" s="78"/>
    <row r="988" ht="15.75" customHeight="1" s="78"/>
    <row r="989" ht="15.75" customHeight="1" s="78"/>
    <row r="990" ht="15.75" customHeight="1" s="78"/>
    <row r="991" ht="15.75" customHeight="1" s="78"/>
    <row r="992" ht="15.75" customHeight="1" s="78"/>
    <row r="993" ht="15.75" customHeight="1" s="78"/>
    <row r="994" ht="15.75" customHeight="1" s="78"/>
    <row r="995" ht="15.75" customHeight="1" s="78"/>
    <row r="996" ht="15.75" customHeight="1" s="78"/>
    <row r="997" ht="15.75" customHeight="1" s="78"/>
    <row r="998" ht="15.75" customHeight="1" s="78"/>
    <row r="999" ht="15.75" customHeight="1" s="78"/>
    <row r="1000" ht="15.75" customHeight="1" s="78"/>
  </sheetData>
  <mergeCells count="11">
    <mergeCell ref="D20:E20"/>
    <mergeCell ref="A18:D18"/>
    <mergeCell ref="A19:C19"/>
    <mergeCell ref="D19:E19"/>
    <mergeCell ref="A1:F1"/>
    <mergeCell ref="A22:C22"/>
    <mergeCell ref="D22:E22"/>
    <mergeCell ref="A21:C21"/>
    <mergeCell ref="A2:J2"/>
    <mergeCell ref="A20:C20"/>
    <mergeCell ref="D21:E21"/>
  </mergeCells>
  <dataValidations count="1">
    <dataValidation sqref="E5:E16" showDropDown="0" showInputMessage="0" showErrorMessage="0" allowBlank="1" type="list">
      <formula1>"Pass,Partial,Fail,Not Tested,N/A"</formula1>
    </dataValidation>
  </dataValidations>
  <pageMargins left="0.75" right="0.75" top="1" bottom="1" header="0" footer="0"/>
  <pageSetup orientation="landscape" fitToHeight="0"/>
</worksheet>
</file>

<file path=xl/worksheets/sheet8.xml><?xml version="1.0" encoding="utf-8"?>
<worksheet xmlns="http://schemas.openxmlformats.org/spreadsheetml/2006/main">
  <sheetPr>
    <outlinePr summaryBelow="1" summaryRight="1"/>
    <pageSetUpPr fitToPage="1"/>
  </sheetPr>
  <dimension ref="A1:M49"/>
  <sheetViews>
    <sheetView workbookViewId="0">
      <pane ySplit="4" topLeftCell="A5" activePane="bottomLeft" state="frozen"/>
      <selection pane="bottomLeft" activeCell="A1" sqref="A1"/>
    </sheetView>
  </sheetViews>
  <sheetFormatPr baseColWidth="8" defaultColWidth="14.43" defaultRowHeight="15" customHeight="1"/>
  <cols>
    <col width="8" customWidth="1" style="78" min="1" max="1"/>
    <col width="34" customWidth="1" style="78" min="2" max="2"/>
    <col width="7" customWidth="1" style="78" min="3" max="3"/>
    <col width="14.57" customWidth="1" style="78" min="4" max="4"/>
    <col width="22" customWidth="1" style="78" min="5" max="5"/>
    <col width="13.71" customWidth="1" style="78" min="6" max="6"/>
    <col width="10" customWidth="1" style="78" min="7" max="7"/>
    <col width="40" customWidth="1" style="78" min="8" max="8"/>
    <col width="20.57" customWidth="1" style="78" min="9" max="9"/>
    <col width="11" customWidth="1" style="78" min="10" max="10"/>
    <col width="46" customWidth="1" style="78" min="11" max="11"/>
    <col width="26.29" customWidth="1" style="78" min="12" max="12"/>
    <col width="73.56999999999999" customWidth="1" style="78" min="13" max="13"/>
    <col width="8.710000000000001" customWidth="1" style="78" min="14" max="26"/>
  </cols>
  <sheetData>
    <row r="1">
      <c r="A1" s="3" t="inlineStr">
        <is>
          <t>Accessibility Scorecard — Fidelity Mobile (Fidelity Bank, Nigeria)</t>
        </is>
      </c>
    </row>
    <row r="2" ht="24" customHeight="1" s="78">
      <c r="A2" s="6" t="inlineStr">
        <is>
          <t>Blue cells are inputs (Status / Evidence count / Notes). WCAG2ICT and Recommended Improvement columns are reference-only. Everything else recalculates automatically.</t>
        </is>
      </c>
    </row>
    <row r="4" ht="30" customHeight="1" s="78">
      <c r="A4" s="8" t="inlineStr">
        <is>
          <t>SC #</t>
        </is>
      </c>
      <c r="B4" s="8" t="inlineStr">
        <is>
          <t>Success Criterion</t>
        </is>
      </c>
      <c r="C4" s="8" t="inlineStr">
        <is>
          <t>Level</t>
        </is>
      </c>
      <c r="D4" s="8" t="inlineStr">
        <is>
          <t>Principle</t>
        </is>
      </c>
      <c r="E4" s="8" t="inlineStr">
        <is>
          <t>Relevance
weight (1-3)</t>
        </is>
      </c>
      <c r="F4" s="8" t="inlineStr">
        <is>
          <t>Status</t>
        </is>
      </c>
      <c r="G4" s="8" t="inlineStr">
        <is>
          <t>Status
score</t>
        </is>
      </c>
      <c r="H4" s="8" t="inlineStr">
        <is>
          <t>Notes / Evidence</t>
        </is>
      </c>
      <c r="I4" s="8" t="inlineStr">
        <is>
          <t>Instances
found</t>
        </is>
      </c>
      <c r="J4" s="8" t="inlineStr">
        <is>
          <t>Weighted
score</t>
        </is>
      </c>
      <c r="K4" s="8" t="inlineStr">
        <is>
          <t>WCAG2ICT interpretation
(native/mobile software)</t>
        </is>
      </c>
      <c r="L4" s="18" t="inlineStr">
        <is>
          <t>Tested?</t>
        </is>
      </c>
      <c r="M4" s="8" t="inlineStr">
        <is>
          <t>Recommended Improvement</t>
        </is>
      </c>
    </row>
    <row r="5">
      <c r="A5" s="15" t="inlineStr">
        <is>
          <t>1.1.1</t>
        </is>
      </c>
      <c r="B5" s="11" t="inlineStr">
        <is>
          <t>Non-text Content</t>
        </is>
      </c>
      <c r="C5" s="13" t="inlineStr">
        <is>
          <t>A</t>
        </is>
      </c>
      <c r="D5" s="15" t="inlineStr">
        <is>
          <t>Perceivable</t>
        </is>
      </c>
      <c r="E5" s="23" t="n">
        <v>3</v>
      </c>
      <c r="F5" s="26" t="inlineStr">
        <is>
          <t>Not Tested</t>
        </is>
      </c>
      <c r="G5" s="15">
        <f>IF(F5="Pass",1,IF(F5="Partial",0.5,IF(F5="Fail",0,0)))</f>
        <v/>
      </c>
      <c r="H5" s="34" t="inlineStr">
        <is>
          <t>Scanner returned 0 label findings, but the app renders in a WebView and the scanner appears unable to evaluate labels there. Icon-only controls are visible and need manual checking: bell, avatar, eye icon, back chevron, fingerprint icon, and network logos shown as images only (4, 6, 9, 30). The bell's element id is 'cart-btn' (4).</t>
        </is>
      </c>
      <c r="I5" s="23" t="inlineStr">
        <is>
          <t>-</t>
        </is>
      </c>
      <c r="J5" s="15">
        <f>E5*G5</f>
        <v/>
      </c>
      <c r="K5" s="39" t="inlineStr">
        <is>
          <t>'Web page' -&gt; 'software'; a non-text control's accessible name must be exposed via the platform accessibility API (Android AccessibilityNodeInfo / iOS UIAccessibility), not just visible on screen.</t>
        </is>
      </c>
      <c r="L5" s="15">
        <f>IF(OR(F5="Pass",F5="Partial",F5="Fail"),1,0)</f>
        <v/>
      </c>
      <c r="M5" s="41" t="inlineStr">
        <is>
          <t>Run a manual TalkBack pass on the icon-only controls. In the web layer, give each an aria-label / alt text (and fix the reused 'cart-btn' id on the bell).</t>
        </is>
      </c>
    </row>
    <row r="6">
      <c r="A6" s="29" t="inlineStr">
        <is>
          <t>1.3.1</t>
        </is>
      </c>
      <c r="B6" s="25" t="inlineStr">
        <is>
          <t>Info and Relationships</t>
        </is>
      </c>
      <c r="C6" s="13" t="inlineStr">
        <is>
          <t>A</t>
        </is>
      </c>
      <c r="D6" s="29" t="inlineStr">
        <is>
          <t>Perceivable</t>
        </is>
      </c>
      <c r="E6" s="42" t="n">
        <v>2</v>
      </c>
      <c r="F6" s="43" t="inlineStr">
        <is>
          <t>Partial</t>
        </is>
      </c>
      <c r="G6" s="29">
        <f>IF(F6="Pass",1,IF(F6="Partial",0.5,IF(F6="Fail",0,0)))</f>
        <v/>
      </c>
      <c r="H6" s="45" t="inlineStr">
        <is>
          <t>The balance is split into separate elements (₦ symbol, masked digits, label) (4). The source-account bottom sheets render blank while the scanner detects invisible items inside them (11, 22, 25). One sheet contains only 'Cancel' (31).</t>
        </is>
      </c>
      <c r="I6" s="42" t="n">
        <v>3</v>
      </c>
      <c r="J6" s="29">
        <f>E6*G6</f>
        <v/>
      </c>
      <c r="K6" s="46" t="inlineStr">
        <is>
          <t>'Markup' -&gt; structural relationships conveyed through the accessibility tree (grouping, headings, lists) rather than HTML; a screen reader must be able to derive the same grouping a sighted user sees.</t>
        </is>
      </c>
      <c r="L6" s="29">
        <f>IF(OR(F6="Pass",F6="Partial",F6="Fail"),1,0)</f>
        <v/>
      </c>
      <c r="M6" s="47" t="inlineStr">
        <is>
          <t>Expose the balance as one accessible element ('Balance ₦114,064.74'). Make sure the source-account sheet's list items actually render and are in the accessibility tree.</t>
        </is>
      </c>
    </row>
    <row r="7">
      <c r="A7" s="15" t="inlineStr">
        <is>
          <t>1.3.2</t>
        </is>
      </c>
      <c r="B7" s="11" t="inlineStr">
        <is>
          <t>Meaningful Sequence</t>
        </is>
      </c>
      <c r="C7" s="13" t="inlineStr">
        <is>
          <t>A</t>
        </is>
      </c>
      <c r="D7" s="15" t="inlineStr">
        <is>
          <t>Perceivable</t>
        </is>
      </c>
      <c r="E7" s="23" t="n">
        <v>2</v>
      </c>
      <c r="F7" s="50" t="inlineStr">
        <is>
          <t>Not Tested</t>
        </is>
      </c>
      <c r="G7" s="15">
        <f>IF(F7="Pass",1,IF(F7="Partial",0.5,IF(F7="Fail",0,0)))</f>
        <v/>
      </c>
      <c r="H7" s="34" t="inlineStr">
        <is>
          <t>Requires manual TalkBack swipe-order testing.</t>
        </is>
      </c>
      <c r="I7" s="23" t="inlineStr">
        <is>
          <t>-</t>
        </is>
      </c>
      <c r="J7" s="15">
        <f>E7*G7</f>
        <v/>
      </c>
      <c r="K7" s="39" t="inlineStr">
        <is>
          <t>Applies as written: the swipe/focus order exposed to a screen reader must match the meaningful reading order, independent of visual layout.</t>
        </is>
      </c>
      <c r="L7" s="15">
        <f>IF(OR(F7="Pass",F7="Partial",F7="Fail"),1,0)</f>
        <v/>
      </c>
      <c r="M7" s="53" t="inlineStr">
        <is>
          <t>No fix to prescribe yet - conduct the manual test first to confirm actual status.</t>
        </is>
      </c>
    </row>
    <row r="8">
      <c r="A8" s="29" t="inlineStr">
        <is>
          <t>1.3.3</t>
        </is>
      </c>
      <c r="B8" s="25" t="inlineStr">
        <is>
          <t>Sensory Characteristics</t>
        </is>
      </c>
      <c r="C8" s="13" t="inlineStr">
        <is>
          <t>A</t>
        </is>
      </c>
      <c r="D8" s="29" t="inlineStr">
        <is>
          <t>Perceivable</t>
        </is>
      </c>
      <c r="E8" s="42" t="n">
        <v>1</v>
      </c>
      <c r="F8" s="54" t="inlineStr">
        <is>
          <t>Pass</t>
        </is>
      </c>
      <c r="G8" s="29">
        <f>IF(F8="Pass",1,IF(F8="Partial",0.5,IF(F8="Fail",0,0)))</f>
        <v/>
      </c>
      <c r="H8" s="45" t="inlineStr">
        <is>
          <t>Expense / Income use colour plus icons and text. No shape-only or position-only instructions observed.</t>
        </is>
      </c>
      <c r="I8" s="42" t="inlineStr">
        <is>
          <t>-</t>
        </is>
      </c>
      <c r="J8" s="29">
        <f>E8*G8</f>
        <v/>
      </c>
      <c r="K8" s="46" t="inlineStr">
        <is>
          <t>Applies as written; no web-specific terms to reinterpret.</t>
        </is>
      </c>
      <c r="L8" s="29">
        <f>IF(OR(F8="Pass",F8="Partial",F8="Fail"),1,0)</f>
        <v/>
      </c>
      <c r="M8" s="57" t="inlineStr">
        <is>
          <t>No action needed on current evidence.</t>
        </is>
      </c>
    </row>
    <row r="9">
      <c r="A9" s="15" t="inlineStr">
        <is>
          <t>1.4.1</t>
        </is>
      </c>
      <c r="B9" s="11" t="inlineStr">
        <is>
          <t>Use of Color</t>
        </is>
      </c>
      <c r="C9" s="13" t="inlineStr">
        <is>
          <t>A</t>
        </is>
      </c>
      <c r="D9" s="15" t="inlineStr">
        <is>
          <t>Perceivable</t>
        </is>
      </c>
      <c r="E9" s="23" t="n">
        <v>1</v>
      </c>
      <c r="F9" s="43" t="inlineStr">
        <is>
          <t>Partial</t>
        </is>
      </c>
      <c r="G9" s="15">
        <f>IF(F9="Pass",1,IF(F9="Partial",0.5,IF(F9="Fail",0,0)))</f>
        <v/>
      </c>
      <c r="H9" s="34" t="inlineStr">
        <is>
          <t>The Save Beneficiary / New Beneficiary toggles show state visually only (9, 12, 37). The selected network logo is shown only by a green border and a tiny tick (32). The active Analytics tab and bottom-nav item are shown by colour only (4, 38). The LOGIN button's disabled state is shown only by dimming (1).</t>
        </is>
      </c>
      <c r="I9" s="23" t="n">
        <v>4</v>
      </c>
      <c r="J9" s="15">
        <f>E9*G9</f>
        <v/>
      </c>
      <c r="K9" s="39" t="inlineStr">
        <is>
          <t>Applies as written; on native software this covers icon-only state indicators as much as web colour cues.</t>
        </is>
      </c>
      <c r="L9" s="15">
        <f>IF(OR(F9="Pass",F9="Partial",F9="Fail"),1,0)</f>
        <v/>
      </c>
      <c r="M9" s="62" t="inlineStr">
        <is>
          <t>Add text or an announced state to the toggles and to the selected network / tab (the Instant Payments toggle's 'Status: Enabled' text is a good in-app model).</t>
        </is>
      </c>
    </row>
    <row r="10">
      <c r="A10" s="29" t="inlineStr">
        <is>
          <t>2.1.1</t>
        </is>
      </c>
      <c r="B10" s="25" t="inlineStr">
        <is>
          <t>Keyboard / assistive-tech equivalent</t>
        </is>
      </c>
      <c r="C10" s="13" t="inlineStr">
        <is>
          <t>A</t>
        </is>
      </c>
      <c r="D10" s="29" t="inlineStr">
        <is>
          <t>Operable</t>
        </is>
      </c>
      <c r="E10" s="42" t="n">
        <v>2</v>
      </c>
      <c r="F10" s="50" t="inlineStr">
        <is>
          <t>Not Tested</t>
        </is>
      </c>
      <c r="G10" s="29">
        <f>IF(F10="Pass",1,IF(F10="Partial",0.5,IF(F10="Fail",0,0)))</f>
        <v/>
      </c>
      <c r="H10" s="45" t="inlineStr">
        <is>
          <t>Requires manual Switch Access / external keyboard testing.</t>
        </is>
      </c>
      <c r="I10" s="42" t="inlineStr">
        <is>
          <t>-</t>
        </is>
      </c>
      <c r="J10" s="29">
        <f>E10*G10</f>
        <v/>
      </c>
      <c r="K10" s="46" t="inlineStr">
        <is>
          <t>'Keyboard' -&gt; 'keyboard interface', which WCAG2ICT clarifies includes assistive technologies such as Switch Access/Full Keyboard Access that emulate key input, not only a physical keyboard.</t>
        </is>
      </c>
      <c r="L10" s="29">
        <f>IF(OR(F10="Pass",F10="Partial",F10="Fail"),1,0)</f>
        <v/>
      </c>
      <c r="M10" s="57" t="inlineStr">
        <is>
          <t>No fix to prescribe yet - conduct the manual test first to confirm actual status.</t>
        </is>
      </c>
    </row>
    <row r="11">
      <c r="A11" s="15" t="inlineStr">
        <is>
          <t>2.4.3</t>
        </is>
      </c>
      <c r="B11" s="11" t="inlineStr">
        <is>
          <t>Focus Order</t>
        </is>
      </c>
      <c r="C11" s="13" t="inlineStr">
        <is>
          <t>A</t>
        </is>
      </c>
      <c r="D11" s="15" t="inlineStr">
        <is>
          <t>Operable</t>
        </is>
      </c>
      <c r="E11" s="23" t="n">
        <v>3</v>
      </c>
      <c r="F11" s="50" t="inlineStr">
        <is>
          <t>Not Tested</t>
        </is>
      </c>
      <c r="G11" s="15">
        <f>IF(F11="Pass",1,IF(F11="Partial",0.5,IF(F11="Fail",0,0)))</f>
        <v/>
      </c>
      <c r="H11" s="34" t="inlineStr">
        <is>
          <t>Requires manual TalkBack testing.</t>
        </is>
      </c>
      <c r="I11" s="23" t="inlineStr">
        <is>
          <t>-</t>
        </is>
      </c>
      <c r="J11" s="15">
        <f>E11*G11</f>
        <v/>
      </c>
      <c r="K11" s="39" t="inlineStr">
        <is>
          <t>Applies as written to the platform's own focus/accessibility-cursor order.</t>
        </is>
      </c>
      <c r="L11" s="15">
        <f>IF(OR(F11="Pass",F11="Partial",F11="Fail"),1,0)</f>
        <v/>
      </c>
      <c r="M11" s="53" t="inlineStr">
        <is>
          <t>No fix to prescribe yet - conduct the manual test first to confirm actual status.</t>
        </is>
      </c>
    </row>
    <row r="12">
      <c r="A12" s="29" t="inlineStr">
        <is>
          <t>2.4.4</t>
        </is>
      </c>
      <c r="B12" s="25" t="inlineStr">
        <is>
          <t>Link Purpose (In Context)</t>
        </is>
      </c>
      <c r="C12" s="13" t="inlineStr">
        <is>
          <t>A</t>
        </is>
      </c>
      <c r="D12" s="29" t="inlineStr">
        <is>
          <t>Operable</t>
        </is>
      </c>
      <c r="E12" s="42" t="n">
        <v>2</v>
      </c>
      <c r="F12" s="26" t="inlineStr">
        <is>
          <t>Not Tested</t>
        </is>
      </c>
      <c r="G12" s="29">
        <f>IF(F12="Pass",1,IF(F12="Partial",0.5,IF(F12="Fail",0,0)))</f>
        <v/>
      </c>
      <c r="H12" s="45" t="inlineStr">
        <is>
          <t>Cannot be assessed from the scan (WebView, no label data). Icon-only bell / avatar / eye / back controls are present.</t>
        </is>
      </c>
      <c r="I12" s="42" t="inlineStr">
        <is>
          <t>-</t>
        </is>
      </c>
      <c r="J12" s="29">
        <f>E12*G12</f>
        <v/>
      </c>
      <c r="K12" s="46" t="inlineStr">
        <is>
          <t>'Link' -&gt; any control that navigates or triggers an action (a quick-link icon, a list row); purpose must be determinable from its accessible name or surrounding context.</t>
        </is>
      </c>
      <c r="L12" s="29">
        <f>IF(OR(F12="Pass",F12="Partial",F12="Fail"),1,0)</f>
        <v/>
      </c>
      <c r="M12" s="64" t="inlineStr">
        <is>
          <t>No fix to prescribe yet - conduct the manual test first to confirm actual status.</t>
        </is>
      </c>
    </row>
    <row r="13">
      <c r="A13" s="15" t="inlineStr">
        <is>
          <t>2.5.1</t>
        </is>
      </c>
      <c r="B13" s="11" t="inlineStr">
        <is>
          <t>Pointer Gestures</t>
        </is>
      </c>
      <c r="C13" s="13" t="inlineStr">
        <is>
          <t>A</t>
        </is>
      </c>
      <c r="D13" s="15" t="inlineStr">
        <is>
          <t>Operable</t>
        </is>
      </c>
      <c r="E13" s="23" t="n">
        <v>1</v>
      </c>
      <c r="F13" s="54" t="inlineStr">
        <is>
          <t>Pass</t>
        </is>
      </c>
      <c r="G13" s="15">
        <f>IF(F13="Pass",1,IF(F13="Partial",0.5,IF(F13="Fail",0,0)))</f>
        <v/>
      </c>
      <c r="H13" s="34" t="inlineStr">
        <is>
          <t>The promo banner auto-rotates. No swipe-only or multi-point gestures observed.</t>
        </is>
      </c>
      <c r="I13" s="23" t="inlineStr">
        <is>
          <t>-</t>
        </is>
      </c>
      <c r="J13" s="15">
        <f>E13*G13</f>
        <v/>
      </c>
      <c r="K13" s="39" t="inlineStr">
        <is>
          <t>Applies as written; written with touch interfaces in mind from WCAG 2.1 onward.</t>
        </is>
      </c>
      <c r="L13" s="15">
        <f>IF(OR(F13="Pass",F13="Partial",F13="Fail"),1,0)</f>
        <v/>
      </c>
      <c r="M13" s="53" t="inlineStr">
        <is>
          <t>No action needed on current evidence.</t>
        </is>
      </c>
    </row>
    <row r="14">
      <c r="A14" s="29" t="inlineStr">
        <is>
          <t>2.5.2</t>
        </is>
      </c>
      <c r="B14" s="25" t="inlineStr">
        <is>
          <t>Pointer Cancellation</t>
        </is>
      </c>
      <c r="C14" s="13" t="inlineStr">
        <is>
          <t>A</t>
        </is>
      </c>
      <c r="D14" s="29" t="inlineStr">
        <is>
          <t>Operable</t>
        </is>
      </c>
      <c r="E14" s="42" t="n">
        <v>1</v>
      </c>
      <c r="F14" s="50" t="inlineStr">
        <is>
          <t>Not Tested</t>
        </is>
      </c>
      <c r="G14" s="29">
        <f>IF(F14="Pass",1,IF(F14="Partial",0.5,IF(F14="Fail",0,0)))</f>
        <v/>
      </c>
      <c r="H14" s="45" t="inlineStr">
        <is>
          <t>Requires manual down-event/up-event testing.</t>
        </is>
      </c>
      <c r="I14" s="42" t="inlineStr">
        <is>
          <t>-</t>
        </is>
      </c>
      <c r="J14" s="29">
        <f>E14*G14</f>
        <v/>
      </c>
      <c r="K14" s="46" t="inlineStr">
        <is>
          <t>Applies as written to native touch handling (down-event vs up-event activation).</t>
        </is>
      </c>
      <c r="L14" s="29">
        <f>IF(OR(F14="Pass",F14="Partial",F14="Fail"),1,0)</f>
        <v/>
      </c>
      <c r="M14" s="57" t="inlineStr">
        <is>
          <t>No fix to prescribe yet - conduct the manual test first to confirm actual status.</t>
        </is>
      </c>
    </row>
    <row r="15">
      <c r="A15" s="15" t="inlineStr">
        <is>
          <t>2.5.3</t>
        </is>
      </c>
      <c r="B15" s="11" t="inlineStr">
        <is>
          <t>Label in Name</t>
        </is>
      </c>
      <c r="C15" s="13" t="inlineStr">
        <is>
          <t>A</t>
        </is>
      </c>
      <c r="D15" s="15" t="inlineStr">
        <is>
          <t>Operable</t>
        </is>
      </c>
      <c r="E15" s="23" t="n">
        <v>2</v>
      </c>
      <c r="F15" s="43" t="inlineStr">
        <is>
          <t>Not Tested</t>
        </is>
      </c>
      <c r="G15" s="15">
        <f>IF(F15="Pass",1,IF(F15="Partial",0.5,IF(F15="Fail",0,0)))</f>
        <v/>
      </c>
      <c r="H15" s="34" t="inlineStr">
        <is>
          <t>No label-vs-visible-text data for WebView content.</t>
        </is>
      </c>
      <c r="I15" s="23" t="inlineStr">
        <is>
          <t>-</t>
        </is>
      </c>
      <c r="J15" s="15">
        <f>E15*G15</f>
        <v/>
      </c>
      <c r="K15" s="39" t="inlineStr">
        <is>
          <t>Applies as written: the programmatic accessible name must contain the visible label text so voice-control users can reference what they see.</t>
        </is>
      </c>
      <c r="L15" s="15">
        <f>IF(OR(F15="Pass",F15="Partial",F15="Fail"),1,0)</f>
        <v/>
      </c>
      <c r="M15" s="62" t="inlineStr">
        <is>
          <t>No fix to prescribe yet - conduct the manual test first to confirm actual status.</t>
        </is>
      </c>
    </row>
    <row r="16">
      <c r="A16" s="29" t="inlineStr">
        <is>
          <t>3.3.1</t>
        </is>
      </c>
      <c r="B16" s="25" t="inlineStr">
        <is>
          <t>Error Identification</t>
        </is>
      </c>
      <c r="C16" s="13" t="inlineStr">
        <is>
          <t>A</t>
        </is>
      </c>
      <c r="D16" s="29" t="inlineStr">
        <is>
          <t>Understandable</t>
        </is>
      </c>
      <c r="E16" s="42" t="n">
        <v>3</v>
      </c>
      <c r="F16" s="26" t="inlineStr">
        <is>
          <t>Not Tested</t>
        </is>
      </c>
      <c r="G16" s="29">
        <f>IF(F16="Pass",1,IF(F16="Partial",0.5,IF(F16="Fail",0,0)))</f>
        <v/>
      </c>
      <c r="H16" s="45" t="inlineStr">
        <is>
          <t>No validation errors were triggered in the captured flows.</t>
        </is>
      </c>
      <c r="I16" s="42" t="inlineStr">
        <is>
          <t>-</t>
        </is>
      </c>
      <c r="J16" s="29">
        <f>E16*G16</f>
        <v/>
      </c>
      <c r="K16" s="46" t="inlineStr">
        <is>
          <t>Applies as written; the error must be identified through the accessibility API (e.g. announced), not only shown visually.</t>
        </is>
      </c>
      <c r="L16" s="29">
        <f>IF(OR(F16="Pass",F16="Partial",F16="Fail"),1,0)</f>
        <v/>
      </c>
      <c r="M16" s="64" t="inlineStr">
        <is>
          <t>No fix to prescribe yet - conduct the manual test first to confirm actual status.</t>
        </is>
      </c>
    </row>
    <row r="17">
      <c r="A17" s="15" t="inlineStr">
        <is>
          <t>3.3.2</t>
        </is>
      </c>
      <c r="B17" s="11" t="inlineStr">
        <is>
          <t>Labels or Instructions</t>
        </is>
      </c>
      <c r="C17" s="13" t="inlineStr">
        <is>
          <t>A</t>
        </is>
      </c>
      <c r="D17" s="15" t="inlineStr">
        <is>
          <t>Understandable</t>
        </is>
      </c>
      <c r="E17" s="23" t="n">
        <v>3</v>
      </c>
      <c r="F17" s="26" t="inlineStr">
        <is>
          <t>Partial</t>
        </is>
      </c>
      <c r="G17" s="15">
        <f>IF(F17="Pass",1,IF(F17="Partial",0.5,IF(F17="Fail",0,0)))</f>
        <v/>
      </c>
      <c r="H17" s="34" t="inlineStr">
        <is>
          <t>Most fields use floating labels that persist once focused (17-21, 32-37). The source-account dropdown never gets a persistent label; it still reads 'Select source account' on a filled form (20, 21).</t>
        </is>
      </c>
      <c r="I17" s="23" t="n">
        <v>1</v>
      </c>
      <c r="J17" s="15">
        <f>E17*G17</f>
        <v/>
      </c>
      <c r="K17" s="39" t="inlineStr">
        <is>
          <t>Applies as written; WCAG2ICT notes placeholder-only text that disappears on input/focus is a common native-software failure mode of this criterion.</t>
        </is>
      </c>
      <c r="L17" s="15">
        <f>IF(OR(F17="Pass",F17="Partial",F17="Fail"),1,0)</f>
        <v/>
      </c>
      <c r="M17" s="41" t="inlineStr">
        <is>
          <t>Give the source-account selector a persistent label ('From account') and announce the chosen account as its value.</t>
        </is>
      </c>
    </row>
    <row r="18">
      <c r="A18" s="29" t="inlineStr">
        <is>
          <t>3.3.9</t>
        </is>
      </c>
      <c r="B18" s="25" t="inlineStr">
        <is>
          <t>Redundant Entry</t>
        </is>
      </c>
      <c r="C18" s="13" t="inlineStr">
        <is>
          <t>A</t>
        </is>
      </c>
      <c r="D18" s="29" t="inlineStr">
        <is>
          <t>Understandable</t>
        </is>
      </c>
      <c r="E18" s="42" t="n">
        <v>1</v>
      </c>
      <c r="F18" s="50" t="inlineStr">
        <is>
          <t>Not Tested</t>
        </is>
      </c>
      <c r="G18" s="29">
        <f>IF(F18="Pass",1,IF(F18="Partial",0.5,IF(F18="Fail",0,0)))</f>
        <v/>
      </c>
      <c r="H18" s="45" t="inlineStr">
        <is>
          <t>Requires manual walkthrough. Positive signals: the beneficiary name auto-fills from the account number (19), plus 'Choose saved beneficiaries' and 'Select from contacts' (9, 12, 37).</t>
        </is>
      </c>
      <c r="I18" s="42" t="inlineStr">
        <is>
          <t>-</t>
        </is>
      </c>
      <c r="J18" s="29">
        <f>E18*G18</f>
        <v/>
      </c>
      <c r="K18" s="46" t="inlineStr">
        <is>
          <t>Applies as written; added in WCAG 2.2 with no web-specific terms.</t>
        </is>
      </c>
      <c r="L18" s="29">
        <f>IF(OR(F18="Pass",F18="Partial",F18="Fail"),1,0)</f>
        <v/>
      </c>
      <c r="M18" s="57" t="inlineStr">
        <is>
          <t>No fix to prescribe yet - conduct the manual test first to confirm actual status.</t>
        </is>
      </c>
    </row>
    <row r="19">
      <c r="A19" s="15" t="inlineStr">
        <is>
          <t>1.3.5</t>
        </is>
      </c>
      <c r="B19" s="11" t="inlineStr">
        <is>
          <t>Identify Input Purpose</t>
        </is>
      </c>
      <c r="C19" s="48" t="inlineStr">
        <is>
          <t>AA</t>
        </is>
      </c>
      <c r="D19" s="15" t="inlineStr">
        <is>
          <t>Perceivable</t>
        </is>
      </c>
      <c r="E19" s="23" t="n">
        <v>2</v>
      </c>
      <c r="F19" s="50" t="inlineStr">
        <is>
          <t>Not Tested</t>
        </is>
      </c>
      <c r="G19" s="15">
        <f>IF(F19="Pass",1,IF(F19="Partial",0.5,IF(F19="Fail",0,0)))</f>
        <v/>
      </c>
      <c r="H19" s="34" t="inlineStr">
        <is>
          <t>Requires manual check: do fields like phone number / amount expose a standard input type so OS-level autofill can offer to complete them?</t>
        </is>
      </c>
      <c r="I19" s="23" t="inlineStr">
        <is>
          <t>-</t>
        </is>
      </c>
      <c r="J19" s="15">
        <f>E19*G19</f>
        <v/>
      </c>
      <c r="K19" s="39" t="inlineStr">
        <is>
          <t>'Input purpose... can be programmatically determined' maps to using standard platform input types/autofill hints (e.g. Android autofillHints) rather than a generic text field.</t>
        </is>
      </c>
      <c r="L19" s="15">
        <f>IF(OR(F19="Pass",F19="Partial",F19="Fail"),1,0)</f>
        <v/>
      </c>
      <c r="M19" s="53" t="inlineStr">
        <is>
          <t>No fix to prescribe yet - conduct the manual test first to confirm actual status.</t>
        </is>
      </c>
    </row>
    <row r="20">
      <c r="A20" s="29" t="inlineStr">
        <is>
          <t>3.2.1</t>
        </is>
      </c>
      <c r="B20" s="25" t="inlineStr">
        <is>
          <t>On Focus</t>
        </is>
      </c>
      <c r="C20" s="13" t="inlineStr">
        <is>
          <t>A</t>
        </is>
      </c>
      <c r="D20" s="29" t="inlineStr">
        <is>
          <t>Operable</t>
        </is>
      </c>
      <c r="E20" s="42" t="n">
        <v>2</v>
      </c>
      <c r="F20" s="50" t="inlineStr">
        <is>
          <t>Not Tested</t>
        </is>
      </c>
      <c r="G20" s="29">
        <f>IF(F20="Pass",1,IF(F20="Partial",0.5,IF(F20="Fail",0,0)))</f>
        <v/>
      </c>
      <c r="H20" s="45" t="inlineStr">
        <is>
          <t>Requires manual check: does simply moving focus onto a field (without activating it) ever trigger a navigation or submission?</t>
        </is>
      </c>
      <c r="I20" s="42" t="inlineStr">
        <is>
          <t>-</t>
        </is>
      </c>
      <c r="J20" s="29">
        <f>E20*G20</f>
        <v/>
      </c>
      <c r="K20" s="46" t="inlineStr">
        <is>
          <t>Applies as written; on native software this covers focus changes triggered by the accessibility cursor, not only literal keyboard focus.</t>
        </is>
      </c>
      <c r="L20" s="29">
        <f>IF(OR(F20="Pass",F20="Partial",F20="Fail"),1,0)</f>
        <v/>
      </c>
      <c r="M20" s="57" t="inlineStr">
        <is>
          <t>No fix to prescribe yet - conduct the manual test first to confirm actual status.</t>
        </is>
      </c>
    </row>
    <row r="21" ht="15.75" customHeight="1" s="78">
      <c r="A21" s="15" t="inlineStr">
        <is>
          <t>3.2.2</t>
        </is>
      </c>
      <c r="B21" s="11" t="inlineStr">
        <is>
          <t>On Input</t>
        </is>
      </c>
      <c r="C21" s="13" t="inlineStr">
        <is>
          <t>A</t>
        </is>
      </c>
      <c r="D21" s="15" t="inlineStr">
        <is>
          <t>Operable</t>
        </is>
      </c>
      <c r="E21" s="23" t="n">
        <v>2</v>
      </c>
      <c r="F21" s="50" t="inlineStr">
        <is>
          <t>Not Tested</t>
        </is>
      </c>
      <c r="G21" s="15">
        <f>IF(F21="Pass",1,IF(F21="Partial",0.5,IF(F21="Fail",0,0)))</f>
        <v/>
      </c>
      <c r="H21" s="34" t="inlineStr">
        <is>
          <t>Requires manual check: does changing a field's value (e.g. selecting MTN vs Airtel) ever submit or navigate without an explicit confirm action?</t>
        </is>
      </c>
      <c r="I21" s="23" t="inlineStr">
        <is>
          <t>-</t>
        </is>
      </c>
      <c r="J21" s="15">
        <f>E21*G21</f>
        <v/>
      </c>
      <c r="K21" s="39" t="inlineStr">
        <is>
          <t>Applies as written; important on forms with toggles/selectors (network, Self/Other) that a screen-reader user changes one at a time.</t>
        </is>
      </c>
      <c r="L21" s="15">
        <f>IF(OR(F21="Pass",F21="Partial",F21="Fail"),1,0)</f>
        <v/>
      </c>
      <c r="M21" s="53" t="inlineStr">
        <is>
          <t>No fix to prescribe yet - conduct the manual test first to confirm actual status.</t>
        </is>
      </c>
    </row>
    <row r="22" ht="15.75" customHeight="1" s="78">
      <c r="A22" s="29" t="inlineStr">
        <is>
          <t>4.1.2</t>
        </is>
      </c>
      <c r="B22" s="25" t="inlineStr">
        <is>
          <t>Name, Role, Value</t>
        </is>
      </c>
      <c r="C22" s="13" t="inlineStr">
        <is>
          <t>A</t>
        </is>
      </c>
      <c r="D22" s="29" t="inlineStr">
        <is>
          <t>Robust</t>
        </is>
      </c>
      <c r="E22" s="42" t="n">
        <v>3</v>
      </c>
      <c r="F22" s="26" t="inlineStr">
        <is>
          <t>Not Tested</t>
        </is>
      </c>
      <c r="G22" s="29">
        <f>IF(F22="Pass",1,IF(F22="Partial",0.5,IF(F22="Fail",0,0)))</f>
        <v/>
      </c>
      <c r="H22" s="45" t="inlineStr">
        <is>
          <t>Scanner exposes no name / role data for the WebView. Several visible controls (back arrow, bell on screens 6, 8, 10) were not flagged as clickable at all, suggesting they may not be exposed as controls.</t>
        </is>
      </c>
      <c r="I22" s="42" t="inlineStr">
        <is>
          <t>-</t>
        </is>
      </c>
      <c r="J22" s="29">
        <f>E22*G22</f>
        <v/>
      </c>
      <c r="K22" s="46" t="inlineStr">
        <is>
          <t>This is the core native-software criterion in WCAG2ICT: 'name, role, value' maps directly to what a platform accessibility API exposes for each control - exactly what Google Accessibility Scanner tests.</t>
        </is>
      </c>
      <c r="L22" s="29">
        <f>IF(OR(F22="Pass",F22="Partial",F22="Fail"),1,0)</f>
        <v/>
      </c>
      <c r="M22" s="64" t="inlineStr">
        <is>
          <t>Manual TalkBack audit of every control's name, role and state in the web layer. Use native &lt;button&gt; elements or role/aria attributes rather than clickable divs.</t>
        </is>
      </c>
    </row>
    <row r="23" ht="15.75" customHeight="1" s="78">
      <c r="A23" s="15" t="inlineStr">
        <is>
          <t>1.4.3</t>
        </is>
      </c>
      <c r="B23" s="11" t="inlineStr">
        <is>
          <t>Contrast (Minimum)</t>
        </is>
      </c>
      <c r="C23" s="48" t="inlineStr">
        <is>
          <t>AA</t>
        </is>
      </c>
      <c r="D23" s="15" t="inlineStr">
        <is>
          <t>Perceivable</t>
        </is>
      </c>
      <c r="E23" s="23" t="n">
        <v>1</v>
      </c>
      <c r="F23" s="26" t="inlineStr">
        <is>
          <t>Fail</t>
        </is>
      </c>
      <c r="G23" s="15">
        <f>IF(F23="Pass",1,IF(F23="Partial",0.5,IF(F23="Fail",0,0)))</f>
        <v/>
      </c>
      <c r="H23" s="34" t="inlineStr">
        <is>
          <t>196 text-contrast failures, 98 of them below 2:1. Recurring: green text #2DCE5A on #F8F7F7 at 1.95:1 ('Daily limit...', 'Choose saved beneficiaries', floating labels); white on green buttons at about 2:1 (LOGIN, PROCEED, Confirm Transfer); inactive bottom-nav labels #BBC1C7 on white at 1.82:1; placeholders #92949C on #E8E8E8 at 2.47:1. Some of the 1.0x results were captured mid-animation (39, 40).</t>
        </is>
      </c>
      <c r="I23" s="23" t="n">
        <v>196</v>
      </c>
      <c r="J23" s="15">
        <f>E23*G23</f>
        <v/>
      </c>
      <c r="K23" s="39" t="inlineStr">
        <is>
          <t>Applies as written; 'text' includes native UI labels, not only web text.</t>
        </is>
      </c>
      <c r="L23" s="15">
        <f>IF(OR(F23="Pass",F23="Partial",F23="Fail"),1,0)</f>
        <v/>
      </c>
      <c r="M23" s="41" t="inlineStr">
        <is>
          <t>Replace the brand green #2DCE5A for text and button backgrounds with a darker shade (about #1E8A3C or darker gives more than 4.5:1 with white). Darken the inactive nav labels and placeholder greys. A few token changes would clear most of the 196 findings.</t>
        </is>
      </c>
    </row>
    <row r="24" ht="15.75" customHeight="1" s="78">
      <c r="A24" s="29" t="inlineStr">
        <is>
          <t>1.4.4</t>
        </is>
      </c>
      <c r="B24" s="25" t="inlineStr">
        <is>
          <t>Resize Text</t>
        </is>
      </c>
      <c r="C24" s="48" t="inlineStr">
        <is>
          <t>AA</t>
        </is>
      </c>
      <c r="D24" s="29" t="inlineStr">
        <is>
          <t>Perceivable</t>
        </is>
      </c>
      <c r="E24" s="42" t="n">
        <v>1</v>
      </c>
      <c r="F24" s="50" t="inlineStr">
        <is>
          <t>Not Tested</t>
        </is>
      </c>
      <c r="G24" s="29">
        <f>IF(F24="Pass",1,IF(F24="Partial",0.5,IF(F24="Fail",0,0)))</f>
        <v/>
      </c>
      <c r="H24" s="45" t="inlineStr">
        <is>
          <t>Requires manual OS font-scaling test.</t>
        </is>
      </c>
      <c r="I24" s="42" t="inlineStr">
        <is>
          <t>-</t>
        </is>
      </c>
      <c r="J24" s="29">
        <f>E24*G24</f>
        <v/>
      </c>
      <c r="K24" s="46" t="inlineStr">
        <is>
          <t>Applies with a platform-specific mechanism: resizing happens via the OS text-scale setting rather than browser zoom.</t>
        </is>
      </c>
      <c r="L24" s="29">
        <f>IF(OR(F24="Pass",F24="Partial",F24="Fail"),1,0)</f>
        <v/>
      </c>
      <c r="M24" s="57" t="inlineStr">
        <is>
          <t>No fix to prescribe yet - conduct the manual test first to confirm actual status.</t>
        </is>
      </c>
    </row>
    <row r="25" ht="15.75" customHeight="1" s="78">
      <c r="A25" s="15" t="inlineStr">
        <is>
          <t>1.4.10</t>
        </is>
      </c>
      <c r="B25" s="11" t="inlineStr">
        <is>
          <t>Reflow</t>
        </is>
      </c>
      <c r="C25" s="48" t="inlineStr">
        <is>
          <t>AA</t>
        </is>
      </c>
      <c r="D25" s="15" t="inlineStr">
        <is>
          <t>Perceivable</t>
        </is>
      </c>
      <c r="E25" s="23" t="n">
        <v>1</v>
      </c>
      <c r="F25" s="50" t="inlineStr">
        <is>
          <t>Not Tested</t>
        </is>
      </c>
      <c r="G25" s="15">
        <f>IF(F25="Pass",1,IF(F25="Partial",0.5,IF(F25="Fail",0,0)))</f>
        <v/>
      </c>
      <c r="H25" s="34" t="inlineStr">
        <is>
          <t>Requires manual OS font-scaling / zoom test.</t>
        </is>
      </c>
      <c r="I25" s="23" t="inlineStr">
        <is>
          <t>-</t>
        </is>
      </c>
      <c r="J25" s="15">
        <f>E25*G25</f>
        <v/>
      </c>
      <c r="K25" s="39" t="inlineStr">
        <is>
          <t>WCAG2ICT notes this applies where the software supports resizing/zoom; if the app has no zoom/scale feature at all, evaluate against the OS-level scaling it does support.</t>
        </is>
      </c>
      <c r="L25" s="15">
        <f>IF(OR(F25="Pass",F25="Partial",F25="Fail"),1,0)</f>
        <v/>
      </c>
      <c r="M25" s="53" t="inlineStr">
        <is>
          <t>No fix to prescribe yet - conduct the manual test first to confirm actual status.</t>
        </is>
      </c>
    </row>
    <row r="26" ht="15.75" customHeight="1" s="78">
      <c r="A26" s="29" t="inlineStr">
        <is>
          <t>1.4.11</t>
        </is>
      </c>
      <c r="B26" s="25" t="inlineStr">
        <is>
          <t>Non-text Contrast</t>
        </is>
      </c>
      <c r="C26" s="48" t="inlineStr">
        <is>
          <t>AA</t>
        </is>
      </c>
      <c r="D26" s="29" t="inlineStr">
        <is>
          <t>Perceivable</t>
        </is>
      </c>
      <c r="E26" s="42" t="n">
        <v>2</v>
      </c>
      <c r="F26" s="26" t="inlineStr">
        <is>
          <t>Partial</t>
        </is>
      </c>
      <c r="G26" s="29">
        <f>IF(F26="Pass",1,IF(F26="Partial",0.5,IF(F26="Fail",0,0)))</f>
        <v/>
      </c>
      <c r="H26" s="45" t="inlineStr">
        <is>
          <t>Only 1 image-contrast finding (1.05:1, 23). Light-grey inactive bottom-nav icons appear to share the 1.82:1 text colour but were not measured separately.</t>
        </is>
      </c>
      <c r="I26" s="42" t="n">
        <v>1</v>
      </c>
      <c r="J26" s="29">
        <f>E26*G26</f>
        <v/>
      </c>
      <c r="K26" s="46" t="inlineStr">
        <is>
          <t>Applies as written to native icons and UI component boundaries.</t>
        </is>
      </c>
      <c r="L26" s="29">
        <f>IF(OR(F26="Pass",F26="Partial",F26="Fail"),1,0)</f>
        <v/>
      </c>
      <c r="M26" s="64" t="inlineStr">
        <is>
          <t>Check the inactive nav icons and toggle tracks against 3:1 and darken them with the text fix above.</t>
        </is>
      </c>
    </row>
    <row r="27" ht="15.75" customHeight="1" s="78">
      <c r="A27" s="15" t="inlineStr">
        <is>
          <t>2.4.6</t>
        </is>
      </c>
      <c r="B27" s="11" t="inlineStr">
        <is>
          <t>Headings and Labels</t>
        </is>
      </c>
      <c r="C27" s="48" t="inlineStr">
        <is>
          <t>AA</t>
        </is>
      </c>
      <c r="D27" s="15" t="inlineStr">
        <is>
          <t>Operable</t>
        </is>
      </c>
      <c r="E27" s="23" t="n">
        <v>1</v>
      </c>
      <c r="F27" s="54" t="inlineStr">
        <is>
          <t>Pass</t>
        </is>
      </c>
      <c r="G27" s="15">
        <f>IF(F27="Pass",1,IF(F27="Partial",0.5,IF(F27="Fail",0,0)))</f>
        <v/>
      </c>
      <c r="H27" s="34" t="inlineStr">
        <is>
          <t>Descriptive header titles: 'Transfers', 'Intrabank Transfer', 'Interbank Transfer', 'Airtime' (6, 9, 12, 30). The 'Airtime' title remains when Data is selected (34), a minor issue.</t>
        </is>
      </c>
      <c r="I27" s="23" t="inlineStr">
        <is>
          <t>-</t>
        </is>
      </c>
      <c r="J27" s="15">
        <f>E27*G27</f>
        <v/>
      </c>
      <c r="K27" s="39" t="inlineStr">
        <is>
          <t>'Web page' -&gt; 'screen/view'; each screen and section needs a descriptive, programmatically exposed title/heading.</t>
        </is>
      </c>
      <c r="L27" s="15">
        <f>IF(OR(F27="Pass",F27="Partial",F27="Fail"),1,0)</f>
        <v/>
      </c>
      <c r="M27" s="53" t="inlineStr">
        <is>
          <t>Optionally retitle the screen 'Airtime &amp; Data'.</t>
        </is>
      </c>
    </row>
    <row r="28" ht="15.75" customHeight="1" s="78">
      <c r="A28" s="29" t="inlineStr">
        <is>
          <t>2.4.7</t>
        </is>
      </c>
      <c r="B28" s="25" t="inlineStr">
        <is>
          <t>Focus Visible</t>
        </is>
      </c>
      <c r="C28" s="48" t="inlineStr">
        <is>
          <t>AA</t>
        </is>
      </c>
      <c r="D28" s="29" t="inlineStr">
        <is>
          <t>Operable</t>
        </is>
      </c>
      <c r="E28" s="42" t="n">
        <v>1</v>
      </c>
      <c r="F28" s="50" t="inlineStr">
        <is>
          <t>Not Tested</t>
        </is>
      </c>
      <c r="G28" s="29">
        <f>IF(F28="Pass",1,IF(F28="Partial",0.5,IF(F28="Fail",0,0)))</f>
        <v/>
      </c>
      <c r="H28" s="45" t="inlineStr">
        <is>
          <t>Requires manual keyboard/switch focus-indicator testing.</t>
        </is>
      </c>
      <c r="I28" s="42" t="inlineStr">
        <is>
          <t>-</t>
        </is>
      </c>
      <c r="J28" s="29">
        <f>E28*G28</f>
        <v/>
      </c>
      <c r="K28" s="46" t="inlineStr">
        <is>
          <t>Applies where the platform supports a visible focus indicator (external keyboard, Switch Access, D-pad); not exercised by pure touch/screen-reader use, so needs manual testing on the relevant input mode.</t>
        </is>
      </c>
      <c r="L28" s="29">
        <f>IF(OR(F28="Pass",F28="Partial",F28="Fail"),1,0)</f>
        <v/>
      </c>
      <c r="M28" s="57" t="inlineStr">
        <is>
          <t>No fix to prescribe yet - conduct the manual test first to confirm actual status.</t>
        </is>
      </c>
    </row>
    <row r="29" ht="15.75" customHeight="1" s="78">
      <c r="A29" s="15" t="inlineStr">
        <is>
          <t>2.5.8</t>
        </is>
      </c>
      <c r="B29" s="11" t="inlineStr">
        <is>
          <t>Target Size (Minimum, 24x24px)</t>
        </is>
      </c>
      <c r="C29" s="48" t="inlineStr">
        <is>
          <t>AA</t>
        </is>
      </c>
      <c r="D29" s="15" t="inlineStr">
        <is>
          <t>Operable</t>
        </is>
      </c>
      <c r="E29" s="23" t="n">
        <v>2</v>
      </c>
      <c r="F29" s="43" t="inlineStr">
        <is>
          <t>Fail</t>
        </is>
      </c>
      <c r="G29" s="15">
        <f>IF(F29="Pass",1,IF(F29="Partial",0.5,IF(F29="Fail",0,0)))</f>
        <v/>
      </c>
      <c r="H29" s="34" t="inlineStr">
        <is>
          <t>167 targets flagged. 58 (35%) are below 24dp: 'Forgot Username?' and 'Forgot Password?' at 15-16dp, the Show Password checkbox, 'Show Balance' at 14-15dp, the eye icon at 18dp, 'Choose saved beneficiaries' at 20dp, 'Change Limit' at 16dp.</t>
        </is>
      </c>
      <c r="I29" s="23" t="n">
        <v>167</v>
      </c>
      <c r="J29" s="15">
        <f>E29*G29</f>
        <v/>
      </c>
      <c r="K29" s="39" t="inlineStr">
        <is>
          <t>Applies as written to native touch targets; note platform guidance (Android 48dp, Apple 44pt) is stricter than WCAG's own 24px floor - both are reported here.</t>
        </is>
      </c>
      <c r="L29" s="15">
        <f>IF(OR(F29="Pass",F29="Partial",F29="Fail"),1,0)</f>
        <v/>
      </c>
      <c r="M29" s="62" t="inlineStr">
        <is>
          <t>Add padding to the text-link style ('Forgot...', 'Show Balance', 'Change Limit', 'Choose saved beneficiaries') so each tap area is at least 24dp (ideally 48dp). These are stand-alone links, not inline text, so the inline exception does not apply.</t>
        </is>
      </c>
    </row>
    <row r="30" ht="15.75" customHeight="1" s="78">
      <c r="A30" s="29" t="inlineStr">
        <is>
          <t>3.2.4</t>
        </is>
      </c>
      <c r="B30" s="25" t="inlineStr">
        <is>
          <t>Consistent Identification</t>
        </is>
      </c>
      <c r="C30" s="48" t="inlineStr">
        <is>
          <t>AA</t>
        </is>
      </c>
      <c r="D30" s="29" t="inlineStr">
        <is>
          <t>Understandable</t>
        </is>
      </c>
      <c r="E30" s="42" t="n">
        <v>0</v>
      </c>
      <c r="F30" s="65" t="inlineStr">
        <is>
          <t>N/A</t>
        </is>
      </c>
      <c r="G30" s="29">
        <f>IF(F30="Pass",1,IF(F30="Partial",0.5,IF(F30="Fail",0,0)))</f>
        <v/>
      </c>
      <c r="H30" s="45" t="inlineStr">
        <is>
          <t>Excluded per Section 508 and EN 301 549, which both state (building on WCAG2ICT) that this criterion does not apply to non-web software. Retained here as a visible N/A rather than silently dropped.</t>
        </is>
      </c>
      <c r="I30" s="42" t="inlineStr">
        <is>
          <t>-</t>
        </is>
      </c>
      <c r="J30" s="29">
        <f>E30*G30</f>
        <v/>
      </c>
      <c r="K30" s="46" t="inlineStr">
        <is>
          <t>Explicitly excluded for non-web software by Section 508 and EN 301 549 - not scored.</t>
        </is>
      </c>
      <c r="L30" s="29">
        <f>IF(OR(F30="Pass",F30="Partial",F30="Fail"),1,0)</f>
        <v/>
      </c>
      <c r="M30" s="57" t="inlineStr">
        <is>
          <t>Not applicable - excluded for non-web software.</t>
        </is>
      </c>
    </row>
    <row r="31" ht="15.75" customHeight="1" s="78">
      <c r="A31" s="15" t="inlineStr">
        <is>
          <t>3.3.3</t>
        </is>
      </c>
      <c r="B31" s="11" t="inlineStr">
        <is>
          <t>Error Suggestion</t>
        </is>
      </c>
      <c r="C31" s="48" t="inlineStr">
        <is>
          <t>AA</t>
        </is>
      </c>
      <c r="D31" s="15" t="inlineStr">
        <is>
          <t>Understandable</t>
        </is>
      </c>
      <c r="E31" s="23" t="n">
        <v>1</v>
      </c>
      <c r="F31" s="50" t="inlineStr">
        <is>
          <t>Not Tested</t>
        </is>
      </c>
      <c r="G31" s="15">
        <f>IF(F31="Pass",1,IF(F31="Partial",0.5,IF(F31="Fail",0,0)))</f>
        <v/>
      </c>
      <c r="H31" s="34" t="inlineStr">
        <is>
          <t>Requires manual review of validation-message wording and exposure.</t>
        </is>
      </c>
      <c r="I31" s="23" t="inlineStr">
        <is>
          <t>-</t>
        </is>
      </c>
      <c r="J31" s="15">
        <f>E31*G31</f>
        <v/>
      </c>
      <c r="K31" s="39" t="inlineStr">
        <is>
          <t>Applies as written.</t>
        </is>
      </c>
      <c r="L31" s="15">
        <f>IF(OR(F31="Pass",F31="Partial",F31="Fail"),1,0)</f>
        <v/>
      </c>
      <c r="M31" s="53" t="inlineStr">
        <is>
          <t>No fix to prescribe yet - conduct the manual test first to confirm actual status.</t>
        </is>
      </c>
    </row>
    <row r="32" ht="15.75" customHeight="1" s="78">
      <c r="A32" s="29" t="inlineStr">
        <is>
          <t>3.3.4</t>
        </is>
      </c>
      <c r="B32" s="25" t="inlineStr">
        <is>
          <t>Error Prevention (Legal, Financial, Data)</t>
        </is>
      </c>
      <c r="C32" s="48" t="inlineStr">
        <is>
          <t>AA</t>
        </is>
      </c>
      <c r="D32" s="29" t="inlineStr">
        <is>
          <t>Understandable</t>
        </is>
      </c>
      <c r="E32" s="42" t="n">
        <v>3</v>
      </c>
      <c r="F32" s="43" t="inlineStr">
        <is>
          <t>Not Tested</t>
        </is>
      </c>
      <c r="G32" s="29">
        <f>IF(F32="Pass",1,IF(F32="Partial",0.5,IF(F32="Fail",0,0)))</f>
        <v/>
      </c>
      <c r="H32" s="45" t="inlineStr">
        <is>
          <t>The flow stopped at the filled form. The intrabank button reads 'Confirm Transfer' (9), but no review or success screen was captured.</t>
        </is>
      </c>
      <c r="I32" s="42" t="inlineStr">
        <is>
          <t>-</t>
        </is>
      </c>
      <c r="J32" s="29">
        <f>E32*G32</f>
        <v/>
      </c>
      <c r="K32" s="46" t="inlineStr">
        <is>
          <t>Applies as written and is squarely about transactions ('legal commitments, financial transactions'); directly relevant to this app's core function.</t>
        </is>
      </c>
      <c r="L32" s="29">
        <f>IF(OR(F32="Pass",F32="Partial",F32="Fail"),1,0)</f>
        <v/>
      </c>
      <c r="M32" s="47" t="inlineStr">
        <is>
          <t>No fix to prescribe yet - conduct the manual test first to confirm actual status.</t>
        </is>
      </c>
    </row>
    <row r="33" ht="15.75" customHeight="1" s="78">
      <c r="A33" s="15" t="inlineStr">
        <is>
          <t>3.3.7</t>
        </is>
      </c>
      <c r="B33" s="11" t="inlineStr">
        <is>
          <t>Accessible Authentication (Minimum)</t>
        </is>
      </c>
      <c r="C33" s="48" t="inlineStr">
        <is>
          <t>AA</t>
        </is>
      </c>
      <c r="D33" s="15" t="inlineStr">
        <is>
          <t>Understandable</t>
        </is>
      </c>
      <c r="E33" s="23" t="n">
        <v>3</v>
      </c>
      <c r="F33" s="26" t="inlineStr">
        <is>
          <t>Pass</t>
        </is>
      </c>
      <c r="G33" s="15">
        <f>IF(F33="Pass",1,IF(F33="Partial",0.5,IF(F33="Fail",0,0)))</f>
        <v/>
      </c>
      <c r="H33" s="34" t="inlineStr">
        <is>
          <t>Username + password login with a fingerprint option inside the password field, a 'Show Password' checkbox, and 'Forgot Username / Password' links (1-3).</t>
        </is>
      </c>
      <c r="I33" s="23" t="inlineStr">
        <is>
          <t>-</t>
        </is>
      </c>
      <c r="J33" s="15">
        <f>E33*G33</f>
        <v/>
      </c>
      <c r="K33" s="39" t="inlineStr">
        <is>
          <t>Applies as written; added in WCAG 2.2 with no web-specific terms to reinterpret.</t>
        </is>
      </c>
      <c r="L33" s="15">
        <f>IF(OR(F33="Pass",F33="Partial",F33="Fail"),1,0)</f>
        <v/>
      </c>
      <c r="M33" s="41" t="inlineStr">
        <is>
          <t>No action needed on current evidence. Confirm that the fingerprint icon is labelled ('Log in with fingerprint').</t>
        </is>
      </c>
    </row>
    <row r="34" ht="15.75" customHeight="1" s="78">
      <c r="A34" s="29" t="inlineStr">
        <is>
          <t>4.1.3</t>
        </is>
      </c>
      <c r="B34" s="25" t="inlineStr">
        <is>
          <t>Status Messages</t>
        </is>
      </c>
      <c r="C34" s="48" t="inlineStr">
        <is>
          <t>AA</t>
        </is>
      </c>
      <c r="D34" s="29" t="inlineStr">
        <is>
          <t>Robust</t>
        </is>
      </c>
      <c r="E34" s="42" t="n">
        <v>3</v>
      </c>
      <c r="F34" s="50" t="inlineStr">
        <is>
          <t>Not Tested</t>
        </is>
      </c>
      <c r="G34" s="29">
        <f>IF(F34="Pass",1,IF(F34="Partial",0.5,IF(F34="Fail",0,0)))</f>
        <v/>
      </c>
      <c r="H34" s="45" t="inlineStr">
        <is>
          <t>Requires manual testing of transaction success/failure toast announcements.</t>
        </is>
      </c>
      <c r="I34" s="42" t="inlineStr">
        <is>
          <t>-</t>
        </is>
      </c>
      <c r="J34" s="29">
        <f>E34*G34</f>
        <v/>
      </c>
      <c r="K34" s="46" t="inlineStr">
        <is>
          <t>'Programmatically determined through role or properties' -&gt; exposed via the accessibility API's live-region/announcement mechanism (e.g. Android AccessibilityEvent) so a status change is spoken without moving focus.</t>
        </is>
      </c>
      <c r="L34" s="29">
        <f>IF(OR(F34="Pass",F34="Partial",F34="Fail"),1,0)</f>
        <v/>
      </c>
      <c r="M34" s="57" t="inlineStr">
        <is>
          <t>No fix to prescribe yet - conduct the manual test first to confirm actual status.</t>
        </is>
      </c>
    </row>
    <row r="35" ht="15.75" customHeight="1" s="78">
      <c r="A35" s="15" t="inlineStr">
        <is>
          <t>2.2.1</t>
        </is>
      </c>
      <c r="B35" s="11" t="inlineStr">
        <is>
          <t>Timing Adjustable</t>
        </is>
      </c>
      <c r="C35" s="13" t="inlineStr">
        <is>
          <t>A</t>
        </is>
      </c>
      <c r="D35" s="15" t="inlineStr">
        <is>
          <t>Operable</t>
        </is>
      </c>
      <c r="E35" s="23" t="n">
        <v>3</v>
      </c>
      <c r="F35" s="50" t="inlineStr">
        <is>
          <t>Not Tested</t>
        </is>
      </c>
      <c r="G35" s="15">
        <f>IF(F35="Pass",1,IF(F35="Partial",0.5,IF(F35="Fail",0,0)))</f>
        <v/>
      </c>
      <c r="H35" s="34" t="inlineStr">
        <is>
          <t>Requires manual test: can a screen-reader user extend/disable any time limit on OTP entry, session timeout, or transfer confirmation?</t>
        </is>
      </c>
      <c r="I35" s="23" t="inlineStr">
        <is>
          <t>-</t>
        </is>
      </c>
      <c r="J35" s="15">
        <f>E35*G35</f>
        <v/>
      </c>
      <c r="K35" s="39" t="inlineStr">
        <is>
          <t>Applies as written; particularly relevant to native software session timeouts and OTP countdown timers.</t>
        </is>
      </c>
      <c r="L35" s="15">
        <f>IF(OR(F35="Pass",F35="Partial",F35="Fail"),1,0)</f>
        <v/>
      </c>
      <c r="M35" s="53" t="inlineStr">
        <is>
          <t>No fix to prescribe yet - conduct the manual test first to confirm actual status.</t>
        </is>
      </c>
    </row>
    <row r="36" ht="15.75" customHeight="1" s="78">
      <c r="A36" s="29" t="inlineStr">
        <is>
          <t>2.2.6</t>
        </is>
      </c>
      <c r="B36" s="25" t="inlineStr">
        <is>
          <t>Timeouts (warn of data loss)</t>
        </is>
      </c>
      <c r="C36" s="50" t="inlineStr">
        <is>
          <t>AAA</t>
        </is>
      </c>
      <c r="D36" s="29" t="inlineStr">
        <is>
          <t>Operable</t>
        </is>
      </c>
      <c r="E36" s="42" t="n">
        <v>1</v>
      </c>
      <c r="F36" s="50" t="inlineStr">
        <is>
          <t>Not Tested</t>
        </is>
      </c>
      <c r="G36" s="29">
        <f>IF(F36="Pass",1,IF(F36="Partial",0.5,IF(F36="Fail",0,0)))</f>
        <v/>
      </c>
      <c r="H36" s="45" t="inlineStr">
        <is>
          <t>Requires manual test: is the user warned before a timed-out session discards an in-progress transaction?</t>
        </is>
      </c>
      <c r="I36" s="42" t="inlineStr">
        <is>
          <t>-</t>
        </is>
      </c>
      <c r="J36" s="29">
        <f>E36*G36</f>
        <v/>
      </c>
      <c r="K36" s="46" t="inlineStr">
        <is>
          <t>Applies as written.</t>
        </is>
      </c>
      <c r="L36" s="29">
        <f>IF(OR(F36="Pass",F36="Partial",F36="Fail"),1,0)</f>
        <v/>
      </c>
      <c r="M36" s="57" t="inlineStr">
        <is>
          <t>No fix to prescribe yet - conduct the manual test first to confirm actual status.</t>
        </is>
      </c>
    </row>
    <row r="37" ht="15.75" customHeight="1" s="78">
      <c r="A37" s="15" t="inlineStr">
        <is>
          <t>2.5.5</t>
        </is>
      </c>
      <c r="B37" s="11" t="inlineStr">
        <is>
          <t>Target Size (Enhanced, 44x44px)</t>
        </is>
      </c>
      <c r="C37" s="50" t="inlineStr">
        <is>
          <t>AAA</t>
        </is>
      </c>
      <c r="D37" s="15" t="inlineStr">
        <is>
          <t>Operable</t>
        </is>
      </c>
      <c r="E37" s="23" t="n">
        <v>1</v>
      </c>
      <c r="F37" s="26" t="inlineStr">
        <is>
          <t>Fail</t>
        </is>
      </c>
      <c r="G37" s="15">
        <f>IF(F37="Pass",1,IF(F37="Partial",0.5,IF(F37="Fail",0,0)))</f>
        <v/>
      </c>
      <c r="H37" s="34" t="inlineStr">
        <is>
          <t>131 of 167 flagged targets are below 44dp.</t>
        </is>
      </c>
      <c r="I37" s="23" t="n">
        <v>167</v>
      </c>
      <c r="J37" s="15">
        <f>E37*G37</f>
        <v/>
      </c>
      <c r="K37" s="39" t="inlineStr">
        <is>
          <t>Applies as written to native touch targets.</t>
        </is>
      </c>
      <c r="L37" s="15">
        <f>IF(OR(F37="Pass",F37="Partial",F37="Fail"),1,0)</f>
        <v/>
      </c>
      <c r="M37" s="41" t="inlineStr">
        <is>
          <t>Bring primary controls (bell, back, fingerprint, tabs, toggles) to 44-48dp.</t>
        </is>
      </c>
    </row>
    <row r="38" ht="15.75" customHeight="1" s="78">
      <c r="A38" s="29" t="inlineStr">
        <is>
          <t>3.3.6</t>
        </is>
      </c>
      <c r="B38" s="25" t="inlineStr">
        <is>
          <t>Error Prevention (All)</t>
        </is>
      </c>
      <c r="C38" s="50" t="inlineStr">
        <is>
          <t>AAA</t>
        </is>
      </c>
      <c r="D38" s="29" t="inlineStr">
        <is>
          <t>Understandable</t>
        </is>
      </c>
      <c r="E38" s="42" t="n">
        <v>1</v>
      </c>
      <c r="F38" s="50" t="inlineStr">
        <is>
          <t>Not Tested</t>
        </is>
      </c>
      <c r="G38" s="29">
        <f>IF(F38="Pass",1,IF(F38="Partial",0.5,IF(F38="Fail",0,0)))</f>
        <v/>
      </c>
      <c r="H38" s="45" t="inlineStr">
        <is>
          <t>Requires manual review across all transactional flows.</t>
        </is>
      </c>
      <c r="I38" s="42" t="inlineStr">
        <is>
          <t>-</t>
        </is>
      </c>
      <c r="J38" s="29">
        <f>E38*G38</f>
        <v/>
      </c>
      <c r="K38" s="46" t="inlineStr">
        <is>
          <t>Applies as written.</t>
        </is>
      </c>
      <c r="L38" s="29">
        <f>IF(OR(F38="Pass",F38="Partial",F38="Fail"),1,0)</f>
        <v/>
      </c>
      <c r="M38" s="57" t="inlineStr">
        <is>
          <t>No fix to prescribe yet - conduct the manual test first to confirm actual status.</t>
        </is>
      </c>
    </row>
    <row r="39" ht="15.75" customHeight="1" s="78">
      <c r="A39" s="15" t="inlineStr">
        <is>
          <t>3.3.8</t>
        </is>
      </c>
      <c r="B39" s="11" t="inlineStr">
        <is>
          <t>Accessible Authentication (Enhanced)</t>
        </is>
      </c>
      <c r="C39" s="50" t="inlineStr">
        <is>
          <t>AAA</t>
        </is>
      </c>
      <c r="D39" s="15" t="inlineStr">
        <is>
          <t>Understandable</t>
        </is>
      </c>
      <c r="E39" s="23" t="n">
        <v>1</v>
      </c>
      <c r="F39" s="26" t="inlineStr">
        <is>
          <t>Pass</t>
        </is>
      </c>
      <c r="G39" s="15">
        <f>IF(F39="Pass",1,IF(F39="Partial",0.5,IF(F39="Fail",0,0)))</f>
        <v/>
      </c>
      <c r="H39" s="34" t="inlineStr">
        <is>
          <t>Fingerprint login is offered.</t>
        </is>
      </c>
      <c r="I39" s="23" t="inlineStr">
        <is>
          <t>-</t>
        </is>
      </c>
      <c r="J39" s="15">
        <f>E39*G39</f>
        <v/>
      </c>
      <c r="K39" s="39" t="inlineStr">
        <is>
          <t>Applies as written; added in WCAG 2.2.</t>
        </is>
      </c>
      <c r="L39" s="15">
        <f>IF(OR(F39="Pass",F39="Partial",F39="Fail"),1,0)</f>
        <v/>
      </c>
      <c r="M39" s="41" t="inlineStr">
        <is>
          <t>No action needed on current evidence.</t>
        </is>
      </c>
    </row>
    <row r="40" ht="15.75" customHeight="1" s="78"/>
    <row r="41" ht="15.75" customHeight="1" s="78">
      <c r="A41" s="91" t="inlineStr">
        <is>
          <t>SCORE SUMMARY</t>
        </is>
      </c>
      <c r="B41" s="92" t="n"/>
      <c r="C41" s="92" t="n"/>
      <c r="D41" s="92" t="n"/>
      <c r="E41" s="92" t="n"/>
      <c r="F41" s="93" t="n"/>
    </row>
    <row r="42" ht="15.75" customHeight="1" s="78">
      <c r="A42" s="94" t="inlineStr">
        <is>
          <t>Weighted score achieved (sum)</t>
        </is>
      </c>
      <c r="B42" s="92" t="n"/>
      <c r="C42" s="92" t="n"/>
      <c r="D42" s="93" t="n"/>
      <c r="E42" s="29">
        <f>SUM(J5:J39)</f>
        <v/>
      </c>
      <c r="F42" s="93" t="n"/>
    </row>
    <row r="43" ht="15.75" customHeight="1" s="78">
      <c r="A43" s="94" t="inlineStr">
        <is>
          <t>Weighted score possible (tested criteria only)</t>
        </is>
      </c>
      <c r="B43" s="92" t="n"/>
      <c r="C43" s="92" t="n"/>
      <c r="D43" s="93" t="n"/>
      <c r="E43" s="29">
        <f>SUMPRODUCT(L5:L39*E5:E39)</f>
        <v/>
      </c>
      <c r="F43" s="93" t="n"/>
    </row>
    <row r="44" ht="15.75" customHeight="1" s="78">
      <c r="A44" s="95" t="inlineStr">
        <is>
          <t>OVERALL ACCESSIBILITY SCORE (0-100)</t>
        </is>
      </c>
      <c r="B44" s="92" t="n"/>
      <c r="C44" s="92" t="n"/>
      <c r="D44" s="93" t="n"/>
      <c r="E44" s="96">
        <f>IFERROR(E42/E43*100,0)</f>
        <v/>
      </c>
      <c r="F44" s="93" t="n"/>
    </row>
    <row r="45" ht="15.75" customHeight="1" s="78">
      <c r="A45" s="94" t="inlineStr">
        <is>
          <t>Level A conformance %</t>
        </is>
      </c>
      <c r="B45" s="92" t="n"/>
      <c r="C45" s="92" t="n"/>
      <c r="D45" s="93" t="n"/>
      <c r="E45" s="97">
        <f>IFERROR(SUMPRODUCT((C5:C39="A")*L5:L39*J5:J39)/SUMPRODUCT((C5:C39="A")*L5:L39*E5:E39)*100,0)</f>
        <v/>
      </c>
      <c r="F45" s="93" t="n"/>
    </row>
    <row r="46" ht="15.75" customHeight="1" s="78">
      <c r="A46" s="94" t="inlineStr">
        <is>
          <t>Level AA conformance % (A+AA criteria)</t>
        </is>
      </c>
      <c r="B46" s="92" t="n"/>
      <c r="C46" s="92" t="n"/>
      <c r="D46" s="93" t="n"/>
      <c r="E46" s="97">
        <f>IFERROR(SUMPRODUCT(((C5:C39="A")+(C5:C39="AA"))*L5:L39*J5:J39)/SUMPRODUCT(((C5:C39="A")+(C5:C39="AA"))*L5:L39*E5:E39)*100,0)</f>
        <v/>
      </c>
      <c r="F46" s="93" t="n"/>
    </row>
    <row r="47" ht="15.75" customHeight="1" s="78">
      <c r="A47" s="94" t="inlineStr">
        <is>
          <t>Criteria rated Fail (count)</t>
        </is>
      </c>
      <c r="B47" s="92" t="n"/>
      <c r="C47" s="92" t="n"/>
      <c r="D47" s="93" t="n"/>
      <c r="E47" s="29">
        <f>COUNTIF(F5:F39,"Fail")</f>
        <v/>
      </c>
      <c r="F47" s="93" t="n"/>
    </row>
    <row r="48" ht="15.75" customHeight="1" s="78">
      <c r="A48" s="94" t="inlineStr">
        <is>
          <t>Criteria rated Not Tested / N/A (count, need manual audit)</t>
        </is>
      </c>
      <c r="B48" s="92" t="n"/>
      <c r="C48" s="92" t="n"/>
      <c r="D48" s="93" t="n"/>
      <c r="E48" s="29">
        <f>COUNTIF(F5:F39,"Not Tested")+COUNTIF(F5:F39,"N/A")</f>
        <v/>
      </c>
      <c r="F48" s="93" t="n"/>
    </row>
    <row r="49" ht="15.75" customHeight="1" s="78">
      <c r="A49" s="95" t="inlineStr">
        <is>
          <t>Rating band</t>
        </is>
      </c>
      <c r="B49" s="92" t="n"/>
      <c r="C49" s="92" t="n"/>
      <c r="D49" s="93" t="n"/>
      <c r="E49" s="22">
        <f>IF(E44&gt;=90,"Level AA-aligned",IF(E44&gt;=75,"Substantially accessible",IF(E44&gt;=50,"Partially accessible - significant barriers",IF(E44&gt;=25,"Largely inaccessible","Inaccessible / excludes blind users"))))</f>
        <v/>
      </c>
      <c r="F49" s="93" t="n"/>
    </row>
    <row r="50" ht="15.75" customHeight="1" s="78"/>
    <row r="51" ht="15.75" customHeight="1" s="78"/>
    <row r="52" ht="15.75" customHeight="1" s="78"/>
    <row r="53" ht="15.75" customHeight="1" s="78"/>
    <row r="54" ht="15.75" customHeight="1" s="78"/>
    <row r="55" ht="15.75" customHeight="1" s="78"/>
    <row r="56" ht="15.75" customHeight="1" s="78"/>
    <row r="57" ht="15.75" customHeight="1" s="78"/>
    <row r="58" ht="15.75" customHeight="1" s="78"/>
    <row r="59" ht="15.75" customHeight="1" s="78"/>
    <row r="60" ht="15.75" customHeight="1" s="78"/>
    <row r="61" ht="15.75" customHeight="1" s="78"/>
    <row r="62" ht="15.75" customHeight="1" s="78"/>
    <row r="63" ht="15.75" customHeight="1" s="78"/>
    <row r="64" ht="15.75" customHeight="1" s="78"/>
    <row r="65" ht="15.75" customHeight="1" s="78"/>
    <row r="66" ht="15.75" customHeight="1" s="78"/>
    <row r="67" ht="15.75" customHeight="1" s="78"/>
    <row r="68" ht="15.75" customHeight="1" s="78"/>
    <row r="69" ht="15.75" customHeight="1" s="78"/>
    <row r="70" ht="15.75" customHeight="1" s="78"/>
    <row r="71" ht="15.75" customHeight="1" s="78"/>
    <row r="72" ht="15.75" customHeight="1" s="78"/>
    <row r="73" ht="15.75" customHeight="1" s="78"/>
    <row r="74" ht="15.75" customHeight="1" s="78"/>
    <row r="75" ht="15.75" customHeight="1" s="78"/>
    <row r="76" ht="15.75" customHeight="1" s="78"/>
    <row r="77" ht="15.75" customHeight="1" s="78"/>
    <row r="78" ht="15.75" customHeight="1" s="78"/>
    <row r="79" ht="15.75" customHeight="1" s="78"/>
    <row r="80" ht="15.75" customHeight="1" s="78"/>
    <row r="81" ht="15.75" customHeight="1" s="78"/>
    <row r="82" ht="15.75" customHeight="1" s="78"/>
    <row r="83" ht="15.75" customHeight="1" s="78"/>
    <row r="84" ht="15.75" customHeight="1" s="78"/>
    <row r="85" ht="15.75" customHeight="1" s="78"/>
    <row r="86" ht="15.75" customHeight="1" s="78"/>
    <row r="87" ht="15.75" customHeight="1" s="78"/>
    <row r="88" ht="15.75" customHeight="1" s="78"/>
    <row r="89" ht="15.75" customHeight="1" s="78"/>
    <row r="90" ht="15.75" customHeight="1" s="78"/>
    <row r="91" ht="15.75" customHeight="1" s="78"/>
    <row r="92" ht="15.75" customHeight="1" s="78"/>
    <row r="93" ht="15.75" customHeight="1" s="78"/>
    <row r="94" ht="15.75" customHeight="1" s="78"/>
    <row r="95" ht="15.75" customHeight="1" s="78"/>
    <row r="96" ht="15.75" customHeight="1" s="78"/>
    <row r="97" ht="15.75" customHeight="1" s="78"/>
    <row r="98" ht="15.75" customHeight="1" s="78"/>
    <row r="99" ht="15.75" customHeight="1" s="78"/>
    <row r="100" ht="15.75" customHeight="1" s="78"/>
    <row r="101" ht="15.75" customHeight="1" s="78"/>
    <row r="102" ht="15.75" customHeight="1" s="78"/>
    <row r="103" ht="15.75" customHeight="1" s="78"/>
    <row r="104" ht="15.75" customHeight="1" s="78"/>
    <row r="105" ht="15.75" customHeight="1" s="78"/>
    <row r="106" ht="15.75" customHeight="1" s="78"/>
    <row r="107" ht="15.75" customHeight="1" s="78"/>
    <row r="108" ht="15.75" customHeight="1" s="78"/>
    <row r="109" ht="15.75" customHeight="1" s="78"/>
    <row r="110" ht="15.75" customHeight="1" s="78"/>
    <row r="111" ht="15.75" customHeight="1" s="78"/>
    <row r="112" ht="15.75" customHeight="1" s="78"/>
    <row r="113" ht="15.75" customHeight="1" s="78"/>
    <row r="114" ht="15.75" customHeight="1" s="78"/>
    <row r="115" ht="15.75" customHeight="1" s="78"/>
    <row r="116" ht="15.75" customHeight="1" s="78"/>
    <row r="117" ht="15.75" customHeight="1" s="78"/>
    <row r="118" ht="15.75" customHeight="1" s="78"/>
    <row r="119" ht="15.75" customHeight="1" s="78"/>
    <row r="120" ht="15.75" customHeight="1" s="78"/>
    <row r="121" ht="15.75" customHeight="1" s="78"/>
    <row r="122" ht="15.75" customHeight="1" s="78"/>
    <row r="123" ht="15.75" customHeight="1" s="78"/>
    <row r="124" ht="15.75" customHeight="1" s="78"/>
    <row r="125" ht="15.75" customHeight="1" s="78"/>
    <row r="126" ht="15.75" customHeight="1" s="78"/>
    <row r="127" ht="15.75" customHeight="1" s="78"/>
    <row r="128" ht="15.75" customHeight="1" s="78"/>
    <row r="129" ht="15.75" customHeight="1" s="78"/>
    <row r="130" ht="15.75" customHeight="1" s="78"/>
    <row r="131" ht="15.75" customHeight="1" s="78"/>
    <row r="132" ht="15.75" customHeight="1" s="78"/>
    <row r="133" ht="15.75" customHeight="1" s="78"/>
    <row r="134" ht="15.75" customHeight="1" s="78"/>
    <row r="135" ht="15.75" customHeight="1" s="78"/>
    <row r="136" ht="15.75" customHeight="1" s="78"/>
    <row r="137" ht="15.75" customHeight="1" s="78"/>
    <row r="138" ht="15.75" customHeight="1" s="78"/>
    <row r="139" ht="15.75" customHeight="1" s="78"/>
    <row r="140" ht="15.75" customHeight="1" s="78"/>
    <row r="141" ht="15.75" customHeight="1" s="78"/>
    <row r="142" ht="15.75" customHeight="1" s="78"/>
    <row r="143" ht="15.75" customHeight="1" s="78"/>
    <row r="144" ht="15.75" customHeight="1" s="78"/>
    <row r="145" ht="15.75" customHeight="1" s="78"/>
    <row r="146" ht="15.75" customHeight="1" s="78"/>
    <row r="147" ht="15.75" customHeight="1" s="78"/>
    <row r="148" ht="15.75" customHeight="1" s="78"/>
    <row r="149" ht="15.75" customHeight="1" s="78"/>
    <row r="150" ht="15.75" customHeight="1" s="78"/>
    <row r="151" ht="15.75" customHeight="1" s="78"/>
    <row r="152" ht="15.75" customHeight="1" s="78"/>
    <row r="153" ht="15.75" customHeight="1" s="78"/>
    <row r="154" ht="15.75" customHeight="1" s="78"/>
    <row r="155" ht="15.75" customHeight="1" s="78"/>
    <row r="156" ht="15.75" customHeight="1" s="78"/>
    <row r="157" ht="15.75" customHeight="1" s="78"/>
    <row r="158" ht="15.75" customHeight="1" s="78"/>
    <row r="159" ht="15.75" customHeight="1" s="78"/>
    <row r="160" ht="15.75" customHeight="1" s="78"/>
    <row r="161" ht="15.75" customHeight="1" s="78"/>
    <row r="162" ht="15.75" customHeight="1" s="78"/>
    <row r="163" ht="15.75" customHeight="1" s="78"/>
    <row r="164" ht="15.75" customHeight="1" s="78"/>
    <row r="165" ht="15.75" customHeight="1" s="78"/>
    <row r="166" ht="15.75" customHeight="1" s="78"/>
    <row r="167" ht="15.75" customHeight="1" s="78"/>
    <row r="168" ht="15.75" customHeight="1" s="78"/>
    <row r="169" ht="15.75" customHeight="1" s="78"/>
    <row r="170" ht="15.75" customHeight="1" s="78"/>
    <row r="171" ht="15.75" customHeight="1" s="78"/>
    <row r="172" ht="15.75" customHeight="1" s="78"/>
    <row r="173" ht="15.75" customHeight="1" s="78"/>
    <row r="174" ht="15.75" customHeight="1" s="78"/>
    <row r="175" ht="15.75" customHeight="1" s="78"/>
    <row r="176" ht="15.75" customHeight="1" s="78"/>
    <row r="177" ht="15.75" customHeight="1" s="78"/>
    <row r="178" ht="15.75" customHeight="1" s="78"/>
    <row r="179" ht="15.75" customHeight="1" s="78"/>
    <row r="180" ht="15.75" customHeight="1" s="78"/>
    <row r="181" ht="15.75" customHeight="1" s="78"/>
    <row r="182" ht="15.75" customHeight="1" s="78"/>
    <row r="183" ht="15.75" customHeight="1" s="78"/>
    <row r="184" ht="15.75" customHeight="1" s="78"/>
    <row r="185" ht="15.75" customHeight="1" s="78"/>
    <row r="186" ht="15.75" customHeight="1" s="78"/>
    <row r="187" ht="15.75" customHeight="1" s="78"/>
    <row r="188" ht="15.75" customHeight="1" s="78"/>
    <row r="189" ht="15.75" customHeight="1" s="78"/>
    <row r="190" ht="15.75" customHeight="1" s="78"/>
    <row r="191" ht="15.75" customHeight="1" s="78"/>
    <row r="192" ht="15.75" customHeight="1" s="78"/>
    <row r="193" ht="15.75" customHeight="1" s="78"/>
    <row r="194" ht="15.75" customHeight="1" s="78"/>
    <row r="195" ht="15.75" customHeight="1" s="78"/>
    <row r="196" ht="15.75" customHeight="1" s="78"/>
    <row r="197" ht="15.75" customHeight="1" s="78"/>
    <row r="198" ht="15.75" customHeight="1" s="78"/>
    <row r="199" ht="15.75" customHeight="1" s="78"/>
    <row r="200" ht="15.75" customHeight="1" s="78"/>
    <row r="201" ht="15.75" customHeight="1" s="78"/>
    <row r="202" ht="15.75" customHeight="1" s="78"/>
    <row r="203" ht="15.75" customHeight="1" s="78"/>
    <row r="204" ht="15.75" customHeight="1" s="78"/>
    <row r="205" ht="15.75" customHeight="1" s="78"/>
    <row r="206" ht="15.75" customHeight="1" s="78"/>
    <row r="207" ht="15.75" customHeight="1" s="78"/>
    <row r="208" ht="15.75" customHeight="1" s="78"/>
    <row r="209" ht="15.75" customHeight="1" s="78"/>
    <row r="210" ht="15.75" customHeight="1" s="78"/>
    <row r="211" ht="15.75" customHeight="1" s="78"/>
    <row r="212" ht="15.75" customHeight="1" s="78"/>
    <row r="213" ht="15.75" customHeight="1" s="78"/>
    <row r="214" ht="15.75" customHeight="1" s="78"/>
    <row r="215" ht="15.75" customHeight="1" s="78"/>
    <row r="216" ht="15.75" customHeight="1" s="78"/>
    <row r="217" ht="15.75" customHeight="1" s="78"/>
    <row r="218" ht="15.75" customHeight="1" s="78"/>
    <row r="219" ht="15.75" customHeight="1" s="78"/>
    <row r="220" ht="15.75" customHeight="1" s="78"/>
    <row r="221" ht="15.75" customHeight="1" s="78"/>
    <row r="222" ht="15.75" customHeight="1" s="78"/>
    <row r="223" ht="15.75" customHeight="1" s="78"/>
    <row r="224" ht="15.75" customHeight="1" s="78"/>
    <row r="225" ht="15.75" customHeight="1" s="78"/>
    <row r="226" ht="15.75" customHeight="1" s="78"/>
    <row r="227" ht="15.75" customHeight="1" s="78"/>
    <row r="228" ht="15.75" customHeight="1" s="78"/>
    <row r="229" ht="15.75" customHeight="1" s="78"/>
    <row r="230" ht="15.75" customHeight="1" s="78"/>
    <row r="231" ht="15.75" customHeight="1" s="78"/>
    <row r="232" ht="15.75" customHeight="1" s="78"/>
    <row r="233" ht="15.75" customHeight="1" s="78"/>
    <row r="234" ht="15.75" customHeight="1" s="78"/>
    <row r="235" ht="15.75" customHeight="1" s="78"/>
    <row r="236" ht="15.75" customHeight="1" s="78"/>
    <row r="237" ht="15.75" customHeight="1" s="78"/>
    <row r="238" ht="15.75" customHeight="1" s="78"/>
    <row r="239" ht="15.75" customHeight="1" s="78"/>
    <row r="240" ht="15.75" customHeight="1" s="78"/>
    <row r="241" ht="15.75" customHeight="1" s="78"/>
    <row r="242" ht="15.75" customHeight="1" s="78"/>
    <row r="243" ht="15.75" customHeight="1" s="78"/>
    <row r="244" ht="15.75" customHeight="1" s="78"/>
    <row r="245" ht="15.75" customHeight="1" s="78"/>
    <row r="246" ht="15.75" customHeight="1" s="78"/>
    <row r="247" ht="15.75" customHeight="1" s="78"/>
    <row r="248" ht="15.75" customHeight="1" s="78"/>
    <row r="249" ht="15.75" customHeight="1" s="78"/>
    <row r="250" ht="15.75" customHeight="1" s="78"/>
    <row r="251" ht="15.75" customHeight="1" s="78"/>
    <row r="252" ht="15.75" customHeight="1" s="78"/>
    <row r="253" ht="15.75" customHeight="1" s="78"/>
    <row r="254" ht="15.75" customHeight="1" s="78"/>
    <row r="255" ht="15.75" customHeight="1" s="78"/>
    <row r="256" ht="15.75" customHeight="1" s="78"/>
    <row r="257" ht="15.75" customHeight="1" s="78"/>
    <row r="258" ht="15.75" customHeight="1" s="78"/>
    <row r="259" ht="15.75" customHeight="1" s="78"/>
    <row r="260" ht="15.75" customHeight="1" s="78"/>
    <row r="261" ht="15.75" customHeight="1" s="78"/>
    <row r="262" ht="15.75" customHeight="1" s="78"/>
    <row r="263" ht="15.75" customHeight="1" s="78"/>
    <row r="264" ht="15.75" customHeight="1" s="78"/>
    <row r="265" ht="15.75" customHeight="1" s="78"/>
    <row r="266" ht="15.75" customHeight="1" s="78"/>
    <row r="267" ht="15.75" customHeight="1" s="78"/>
    <row r="268" ht="15.75" customHeight="1" s="78"/>
    <row r="269" ht="15.75" customHeight="1" s="78"/>
    <row r="270" ht="15.75" customHeight="1" s="78"/>
    <row r="271" ht="15.75" customHeight="1" s="78"/>
    <row r="272" ht="15.75" customHeight="1" s="78"/>
    <row r="273" ht="15.75" customHeight="1" s="78"/>
    <row r="274" ht="15.75" customHeight="1" s="78"/>
    <row r="275" ht="15.75" customHeight="1" s="78"/>
    <row r="276" ht="15.75" customHeight="1" s="78"/>
    <row r="277" ht="15.75" customHeight="1" s="78"/>
    <row r="278" ht="15.75" customHeight="1" s="78"/>
    <row r="279" ht="15.75" customHeight="1" s="78"/>
    <row r="280" ht="15.75" customHeight="1" s="78"/>
    <row r="281" ht="15.75" customHeight="1" s="78"/>
    <row r="282" ht="15.75" customHeight="1" s="78"/>
    <row r="283" ht="15.75" customHeight="1" s="78"/>
    <row r="284" ht="15.75" customHeight="1" s="78"/>
    <row r="285" ht="15.75" customHeight="1" s="78"/>
    <row r="286" ht="15.75" customHeight="1" s="78"/>
    <row r="287" ht="15.75" customHeight="1" s="78"/>
    <row r="288" ht="15.75" customHeight="1" s="78"/>
    <row r="289" ht="15.75" customHeight="1" s="78"/>
    <row r="290" ht="15.75" customHeight="1" s="78"/>
    <row r="291" ht="15.75" customHeight="1" s="78"/>
    <row r="292" ht="15.75" customHeight="1" s="78"/>
    <row r="293" ht="15.75" customHeight="1" s="78"/>
    <row r="294" ht="15.75" customHeight="1" s="78"/>
    <row r="295" ht="15.75" customHeight="1" s="78"/>
    <row r="296" ht="15.75" customHeight="1" s="78"/>
    <row r="297" ht="15.75" customHeight="1" s="78"/>
    <row r="298" ht="15.75" customHeight="1" s="78"/>
    <row r="299" ht="15.75" customHeight="1" s="78"/>
    <row r="300" ht="15.75" customHeight="1" s="78"/>
    <row r="301" ht="15.75" customHeight="1" s="78"/>
    <row r="302" ht="15.75" customHeight="1" s="78"/>
    <row r="303" ht="15.75" customHeight="1" s="78"/>
    <row r="304" ht="15.75" customHeight="1" s="78"/>
    <row r="305" ht="15.75" customHeight="1" s="78"/>
    <row r="306" ht="15.75" customHeight="1" s="78"/>
    <row r="307" ht="15.75" customHeight="1" s="78"/>
    <row r="308" ht="15.75" customHeight="1" s="78"/>
    <row r="309" ht="15.75" customHeight="1" s="78"/>
    <row r="310" ht="15.75" customHeight="1" s="78"/>
    <row r="311" ht="15.75" customHeight="1" s="78"/>
    <row r="312" ht="15.75" customHeight="1" s="78"/>
    <row r="313" ht="15.75" customHeight="1" s="78"/>
    <row r="314" ht="15.75" customHeight="1" s="78"/>
    <row r="315" ht="15.75" customHeight="1" s="78"/>
    <row r="316" ht="15.75" customHeight="1" s="78"/>
    <row r="317" ht="15.75" customHeight="1" s="78"/>
    <row r="318" ht="15.75" customHeight="1" s="78"/>
    <row r="319" ht="15.75" customHeight="1" s="78"/>
    <row r="320" ht="15.75" customHeight="1" s="78"/>
    <row r="321" ht="15.75" customHeight="1" s="78"/>
    <row r="322" ht="15.75" customHeight="1" s="78"/>
    <row r="323" ht="15.75" customHeight="1" s="78"/>
    <row r="324" ht="15.75" customHeight="1" s="78"/>
    <row r="325" ht="15.75" customHeight="1" s="78"/>
    <row r="326" ht="15.75" customHeight="1" s="78"/>
    <row r="327" ht="15.75" customHeight="1" s="78"/>
    <row r="328" ht="15.75" customHeight="1" s="78"/>
    <row r="329" ht="15.75" customHeight="1" s="78"/>
    <row r="330" ht="15.75" customHeight="1" s="78"/>
    <row r="331" ht="15.75" customHeight="1" s="78"/>
    <row r="332" ht="15.75" customHeight="1" s="78"/>
    <row r="333" ht="15.75" customHeight="1" s="78"/>
    <row r="334" ht="15.75" customHeight="1" s="78"/>
    <row r="335" ht="15.75" customHeight="1" s="78"/>
    <row r="336" ht="15.75" customHeight="1" s="78"/>
    <row r="337" ht="15.75" customHeight="1" s="78"/>
    <row r="338" ht="15.75" customHeight="1" s="78"/>
    <row r="339" ht="15.75" customHeight="1" s="78"/>
    <row r="340" ht="15.75" customHeight="1" s="78"/>
    <row r="341" ht="15.75" customHeight="1" s="78"/>
    <row r="342" ht="15.75" customHeight="1" s="78"/>
    <row r="343" ht="15.75" customHeight="1" s="78"/>
    <row r="344" ht="15.75" customHeight="1" s="78"/>
    <row r="345" ht="15.75" customHeight="1" s="78"/>
    <row r="346" ht="15.75" customHeight="1" s="78"/>
    <row r="347" ht="15.75" customHeight="1" s="78"/>
    <row r="348" ht="15.75" customHeight="1" s="78"/>
    <row r="349" ht="15.75" customHeight="1" s="78"/>
    <row r="350" ht="15.75" customHeight="1" s="78"/>
    <row r="351" ht="15.75" customHeight="1" s="78"/>
    <row r="352" ht="15.75" customHeight="1" s="78"/>
    <row r="353" ht="15.75" customHeight="1" s="78"/>
    <row r="354" ht="15.75" customHeight="1" s="78"/>
    <row r="355" ht="15.75" customHeight="1" s="78"/>
    <row r="356" ht="15.75" customHeight="1" s="78"/>
    <row r="357" ht="15.75" customHeight="1" s="78"/>
    <row r="358" ht="15.75" customHeight="1" s="78"/>
    <row r="359" ht="15.75" customHeight="1" s="78"/>
    <row r="360" ht="15.75" customHeight="1" s="78"/>
    <row r="361" ht="15.75" customHeight="1" s="78"/>
    <row r="362" ht="15.75" customHeight="1" s="78"/>
    <row r="363" ht="15.75" customHeight="1" s="78"/>
    <row r="364" ht="15.75" customHeight="1" s="78"/>
    <row r="365" ht="15.75" customHeight="1" s="78"/>
    <row r="366" ht="15.75" customHeight="1" s="78"/>
    <row r="367" ht="15.75" customHeight="1" s="78"/>
    <row r="368" ht="15.75" customHeight="1" s="78"/>
    <row r="369" ht="15.75" customHeight="1" s="78"/>
    <row r="370" ht="15.75" customHeight="1" s="78"/>
    <row r="371" ht="15.75" customHeight="1" s="78"/>
    <row r="372" ht="15.75" customHeight="1" s="78"/>
    <row r="373" ht="15.75" customHeight="1" s="78"/>
    <row r="374" ht="15.75" customHeight="1" s="78"/>
    <row r="375" ht="15.75" customHeight="1" s="78"/>
    <row r="376" ht="15.75" customHeight="1" s="78"/>
    <row r="377" ht="15.75" customHeight="1" s="78"/>
    <row r="378" ht="15.75" customHeight="1" s="78"/>
    <row r="379" ht="15.75" customHeight="1" s="78"/>
    <row r="380" ht="15.75" customHeight="1" s="78"/>
    <row r="381" ht="15.75" customHeight="1" s="78"/>
    <row r="382" ht="15.75" customHeight="1" s="78"/>
    <row r="383" ht="15.75" customHeight="1" s="78"/>
    <row r="384" ht="15.75" customHeight="1" s="78"/>
    <row r="385" ht="15.75" customHeight="1" s="78"/>
    <row r="386" ht="15.75" customHeight="1" s="78"/>
    <row r="387" ht="15.75" customHeight="1" s="78"/>
    <row r="388" ht="15.75" customHeight="1" s="78"/>
    <row r="389" ht="15.75" customHeight="1" s="78"/>
    <row r="390" ht="15.75" customHeight="1" s="78"/>
    <row r="391" ht="15.75" customHeight="1" s="78"/>
    <row r="392" ht="15.75" customHeight="1" s="78"/>
    <row r="393" ht="15.75" customHeight="1" s="78"/>
    <row r="394" ht="15.75" customHeight="1" s="78"/>
    <row r="395" ht="15.75" customHeight="1" s="78"/>
    <row r="396" ht="15.75" customHeight="1" s="78"/>
    <row r="397" ht="15.75" customHeight="1" s="78"/>
    <row r="398" ht="15.75" customHeight="1" s="78"/>
    <row r="399" ht="15.75" customHeight="1" s="78"/>
    <row r="400" ht="15.75" customHeight="1" s="78"/>
    <row r="401" ht="15.75" customHeight="1" s="78"/>
    <row r="402" ht="15.75" customHeight="1" s="78"/>
    <row r="403" ht="15.75" customHeight="1" s="78"/>
    <row r="404" ht="15.75" customHeight="1" s="78"/>
    <row r="405" ht="15.75" customHeight="1" s="78"/>
    <row r="406" ht="15.75" customHeight="1" s="78"/>
    <row r="407" ht="15.75" customHeight="1" s="78"/>
    <row r="408" ht="15.75" customHeight="1" s="78"/>
    <row r="409" ht="15.75" customHeight="1" s="78"/>
    <row r="410" ht="15.75" customHeight="1" s="78"/>
    <row r="411" ht="15.75" customHeight="1" s="78"/>
    <row r="412" ht="15.75" customHeight="1" s="78"/>
    <row r="413" ht="15.75" customHeight="1" s="78"/>
    <row r="414" ht="15.75" customHeight="1" s="78"/>
    <row r="415" ht="15.75" customHeight="1" s="78"/>
    <row r="416" ht="15.75" customHeight="1" s="78"/>
    <row r="417" ht="15.75" customHeight="1" s="78"/>
    <row r="418" ht="15.75" customHeight="1" s="78"/>
    <row r="419" ht="15.75" customHeight="1" s="78"/>
    <row r="420" ht="15.75" customHeight="1" s="78"/>
    <row r="421" ht="15.75" customHeight="1" s="78"/>
    <row r="422" ht="15.75" customHeight="1" s="78"/>
    <row r="423" ht="15.75" customHeight="1" s="78"/>
    <row r="424" ht="15.75" customHeight="1" s="78"/>
    <row r="425" ht="15.75" customHeight="1" s="78"/>
    <row r="426" ht="15.75" customHeight="1" s="78"/>
    <row r="427" ht="15.75" customHeight="1" s="78"/>
    <row r="428" ht="15.75" customHeight="1" s="78"/>
    <row r="429" ht="15.75" customHeight="1" s="78"/>
    <row r="430" ht="15.75" customHeight="1" s="78"/>
    <row r="431" ht="15.75" customHeight="1" s="78"/>
    <row r="432" ht="15.75" customHeight="1" s="78"/>
    <row r="433" ht="15.75" customHeight="1" s="78"/>
    <row r="434" ht="15.75" customHeight="1" s="78"/>
    <row r="435" ht="15.75" customHeight="1" s="78"/>
    <row r="436" ht="15.75" customHeight="1" s="78"/>
    <row r="437" ht="15.75" customHeight="1" s="78"/>
    <row r="438" ht="15.75" customHeight="1" s="78"/>
    <row r="439" ht="15.75" customHeight="1" s="78"/>
    <row r="440" ht="15.75" customHeight="1" s="78"/>
    <row r="441" ht="15.75" customHeight="1" s="78"/>
    <row r="442" ht="15.75" customHeight="1" s="78"/>
    <row r="443" ht="15.75" customHeight="1" s="78"/>
    <row r="444" ht="15.75" customHeight="1" s="78"/>
    <row r="445" ht="15.75" customHeight="1" s="78"/>
    <row r="446" ht="15.75" customHeight="1" s="78"/>
    <row r="447" ht="15.75" customHeight="1" s="78"/>
    <row r="448" ht="15.75" customHeight="1" s="78"/>
    <row r="449" ht="15.75" customHeight="1" s="78"/>
    <row r="450" ht="15.75" customHeight="1" s="78"/>
    <row r="451" ht="15.75" customHeight="1" s="78"/>
    <row r="452" ht="15.75" customHeight="1" s="78"/>
    <row r="453" ht="15.75" customHeight="1" s="78"/>
    <row r="454" ht="15.75" customHeight="1" s="78"/>
    <row r="455" ht="15.75" customHeight="1" s="78"/>
    <row r="456" ht="15.75" customHeight="1" s="78"/>
    <row r="457" ht="15.75" customHeight="1" s="78"/>
    <row r="458" ht="15.75" customHeight="1" s="78"/>
    <row r="459" ht="15.75" customHeight="1" s="78"/>
    <row r="460" ht="15.75" customHeight="1" s="78"/>
    <row r="461" ht="15.75" customHeight="1" s="78"/>
    <row r="462" ht="15.75" customHeight="1" s="78"/>
    <row r="463" ht="15.75" customHeight="1" s="78"/>
    <row r="464" ht="15.75" customHeight="1" s="78"/>
    <row r="465" ht="15.75" customHeight="1" s="78"/>
    <row r="466" ht="15.75" customHeight="1" s="78"/>
    <row r="467" ht="15.75" customHeight="1" s="78"/>
    <row r="468" ht="15.75" customHeight="1" s="78"/>
    <row r="469" ht="15.75" customHeight="1" s="78"/>
    <row r="470" ht="15.75" customHeight="1" s="78"/>
    <row r="471" ht="15.75" customHeight="1" s="78"/>
    <row r="472" ht="15.75" customHeight="1" s="78"/>
    <row r="473" ht="15.75" customHeight="1" s="78"/>
    <row r="474" ht="15.75" customHeight="1" s="78"/>
    <row r="475" ht="15.75" customHeight="1" s="78"/>
    <row r="476" ht="15.75" customHeight="1" s="78"/>
    <row r="477" ht="15.75" customHeight="1" s="78"/>
    <row r="478" ht="15.75" customHeight="1" s="78"/>
    <row r="479" ht="15.75" customHeight="1" s="78"/>
    <row r="480" ht="15.75" customHeight="1" s="78"/>
    <row r="481" ht="15.75" customHeight="1" s="78"/>
    <row r="482" ht="15.75" customHeight="1" s="78"/>
    <row r="483" ht="15.75" customHeight="1" s="78"/>
    <row r="484" ht="15.75" customHeight="1" s="78"/>
    <row r="485" ht="15.75" customHeight="1" s="78"/>
    <row r="486" ht="15.75" customHeight="1" s="78"/>
    <row r="487" ht="15.75" customHeight="1" s="78"/>
    <row r="488" ht="15.75" customHeight="1" s="78"/>
    <row r="489" ht="15.75" customHeight="1" s="78"/>
    <row r="490" ht="15.75" customHeight="1" s="78"/>
    <row r="491" ht="15.75" customHeight="1" s="78"/>
    <row r="492" ht="15.75" customHeight="1" s="78"/>
    <row r="493" ht="15.75" customHeight="1" s="78"/>
    <row r="494" ht="15.75" customHeight="1" s="78"/>
    <row r="495" ht="15.75" customHeight="1" s="78"/>
    <row r="496" ht="15.75" customHeight="1" s="78"/>
    <row r="497" ht="15.75" customHeight="1" s="78"/>
    <row r="498" ht="15.75" customHeight="1" s="78"/>
    <row r="499" ht="15.75" customHeight="1" s="78"/>
    <row r="500" ht="15.75" customHeight="1" s="78"/>
    <row r="501" ht="15.75" customHeight="1" s="78"/>
    <row r="502" ht="15.75" customHeight="1" s="78"/>
    <row r="503" ht="15.75" customHeight="1" s="78"/>
    <row r="504" ht="15.75" customHeight="1" s="78"/>
    <row r="505" ht="15.75" customHeight="1" s="78"/>
    <row r="506" ht="15.75" customHeight="1" s="78"/>
    <row r="507" ht="15.75" customHeight="1" s="78"/>
    <row r="508" ht="15.75" customHeight="1" s="78"/>
    <row r="509" ht="15.75" customHeight="1" s="78"/>
    <row r="510" ht="15.75" customHeight="1" s="78"/>
    <row r="511" ht="15.75" customHeight="1" s="78"/>
    <row r="512" ht="15.75" customHeight="1" s="78"/>
    <row r="513" ht="15.75" customHeight="1" s="78"/>
    <row r="514" ht="15.75" customHeight="1" s="78"/>
    <row r="515" ht="15.75" customHeight="1" s="78"/>
    <row r="516" ht="15.75" customHeight="1" s="78"/>
    <row r="517" ht="15.75" customHeight="1" s="78"/>
    <row r="518" ht="15.75" customHeight="1" s="78"/>
    <row r="519" ht="15.75" customHeight="1" s="78"/>
    <row r="520" ht="15.75" customHeight="1" s="78"/>
    <row r="521" ht="15.75" customHeight="1" s="78"/>
    <row r="522" ht="15.75" customHeight="1" s="78"/>
    <row r="523" ht="15.75" customHeight="1" s="78"/>
    <row r="524" ht="15.75" customHeight="1" s="78"/>
    <row r="525" ht="15.75" customHeight="1" s="78"/>
    <row r="526" ht="15.75" customHeight="1" s="78"/>
    <row r="527" ht="15.75" customHeight="1" s="78"/>
    <row r="528" ht="15.75" customHeight="1" s="78"/>
    <row r="529" ht="15.75" customHeight="1" s="78"/>
    <row r="530" ht="15.75" customHeight="1" s="78"/>
    <row r="531" ht="15.75" customHeight="1" s="78"/>
    <row r="532" ht="15.75" customHeight="1" s="78"/>
    <row r="533" ht="15.75" customHeight="1" s="78"/>
    <row r="534" ht="15.75" customHeight="1" s="78"/>
    <row r="535" ht="15.75" customHeight="1" s="78"/>
    <row r="536" ht="15.75" customHeight="1" s="78"/>
    <row r="537" ht="15.75" customHeight="1" s="78"/>
    <row r="538" ht="15.75" customHeight="1" s="78"/>
    <row r="539" ht="15.75" customHeight="1" s="78"/>
    <row r="540" ht="15.75" customHeight="1" s="78"/>
    <row r="541" ht="15.75" customHeight="1" s="78"/>
    <row r="542" ht="15.75" customHeight="1" s="78"/>
    <row r="543" ht="15.75" customHeight="1" s="78"/>
    <row r="544" ht="15.75" customHeight="1" s="78"/>
    <row r="545" ht="15.75" customHeight="1" s="78"/>
    <row r="546" ht="15.75" customHeight="1" s="78"/>
    <row r="547" ht="15.75" customHeight="1" s="78"/>
    <row r="548" ht="15.75" customHeight="1" s="78"/>
    <row r="549" ht="15.75" customHeight="1" s="78"/>
    <row r="550" ht="15.75" customHeight="1" s="78"/>
    <row r="551" ht="15.75" customHeight="1" s="78"/>
    <row r="552" ht="15.75" customHeight="1" s="78"/>
    <row r="553" ht="15.75" customHeight="1" s="78"/>
    <row r="554" ht="15.75" customHeight="1" s="78"/>
    <row r="555" ht="15.75" customHeight="1" s="78"/>
    <row r="556" ht="15.75" customHeight="1" s="78"/>
    <row r="557" ht="15.75" customHeight="1" s="78"/>
    <row r="558" ht="15.75" customHeight="1" s="78"/>
    <row r="559" ht="15.75" customHeight="1" s="78"/>
    <row r="560" ht="15.75" customHeight="1" s="78"/>
    <row r="561" ht="15.75" customHeight="1" s="78"/>
    <row r="562" ht="15.75" customHeight="1" s="78"/>
    <row r="563" ht="15.75" customHeight="1" s="78"/>
    <row r="564" ht="15.75" customHeight="1" s="78"/>
    <row r="565" ht="15.75" customHeight="1" s="78"/>
    <row r="566" ht="15.75" customHeight="1" s="78"/>
    <row r="567" ht="15.75" customHeight="1" s="78"/>
    <row r="568" ht="15.75" customHeight="1" s="78"/>
    <row r="569" ht="15.75" customHeight="1" s="78"/>
    <row r="570" ht="15.75" customHeight="1" s="78"/>
    <row r="571" ht="15.75" customHeight="1" s="78"/>
    <row r="572" ht="15.75" customHeight="1" s="78"/>
    <row r="573" ht="15.75" customHeight="1" s="78"/>
    <row r="574" ht="15.75" customHeight="1" s="78"/>
    <row r="575" ht="15.75" customHeight="1" s="78"/>
    <row r="576" ht="15.75" customHeight="1" s="78"/>
    <row r="577" ht="15.75" customHeight="1" s="78"/>
    <row r="578" ht="15.75" customHeight="1" s="78"/>
    <row r="579" ht="15.75" customHeight="1" s="78"/>
    <row r="580" ht="15.75" customHeight="1" s="78"/>
    <row r="581" ht="15.75" customHeight="1" s="78"/>
    <row r="582" ht="15.75" customHeight="1" s="78"/>
    <row r="583" ht="15.75" customHeight="1" s="78"/>
    <row r="584" ht="15.75" customHeight="1" s="78"/>
    <row r="585" ht="15.75" customHeight="1" s="78"/>
    <row r="586" ht="15.75" customHeight="1" s="78"/>
    <row r="587" ht="15.75" customHeight="1" s="78"/>
    <row r="588" ht="15.75" customHeight="1" s="78"/>
    <row r="589" ht="15.75" customHeight="1" s="78"/>
    <row r="590" ht="15.75" customHeight="1" s="78"/>
    <row r="591" ht="15.75" customHeight="1" s="78"/>
    <row r="592" ht="15.75" customHeight="1" s="78"/>
    <row r="593" ht="15.75" customHeight="1" s="78"/>
    <row r="594" ht="15.75" customHeight="1" s="78"/>
    <row r="595" ht="15.75" customHeight="1" s="78"/>
    <row r="596" ht="15.75" customHeight="1" s="78"/>
    <row r="597" ht="15.75" customHeight="1" s="78"/>
    <row r="598" ht="15.75" customHeight="1" s="78"/>
    <row r="599" ht="15.75" customHeight="1" s="78"/>
    <row r="600" ht="15.75" customHeight="1" s="78"/>
    <row r="601" ht="15.75" customHeight="1" s="78"/>
    <row r="602" ht="15.75" customHeight="1" s="78"/>
    <row r="603" ht="15.75" customHeight="1" s="78"/>
    <row r="604" ht="15.75" customHeight="1" s="78"/>
    <row r="605" ht="15.75" customHeight="1" s="78"/>
    <row r="606" ht="15.75" customHeight="1" s="78"/>
    <row r="607" ht="15.75" customHeight="1" s="78"/>
    <row r="608" ht="15.75" customHeight="1" s="78"/>
    <row r="609" ht="15.75" customHeight="1" s="78"/>
    <row r="610" ht="15.75" customHeight="1" s="78"/>
    <row r="611" ht="15.75" customHeight="1" s="78"/>
    <row r="612" ht="15.75" customHeight="1" s="78"/>
    <row r="613" ht="15.75" customHeight="1" s="78"/>
    <row r="614" ht="15.75" customHeight="1" s="78"/>
    <row r="615" ht="15.75" customHeight="1" s="78"/>
    <row r="616" ht="15.75" customHeight="1" s="78"/>
    <row r="617" ht="15.75" customHeight="1" s="78"/>
    <row r="618" ht="15.75" customHeight="1" s="78"/>
    <row r="619" ht="15.75" customHeight="1" s="78"/>
    <row r="620" ht="15.75" customHeight="1" s="78"/>
    <row r="621" ht="15.75" customHeight="1" s="78"/>
    <row r="622" ht="15.75" customHeight="1" s="78"/>
    <row r="623" ht="15.75" customHeight="1" s="78"/>
    <row r="624" ht="15.75" customHeight="1" s="78"/>
    <row r="625" ht="15.75" customHeight="1" s="78"/>
    <row r="626" ht="15.75" customHeight="1" s="78"/>
    <row r="627" ht="15.75" customHeight="1" s="78"/>
    <row r="628" ht="15.75" customHeight="1" s="78"/>
    <row r="629" ht="15.75" customHeight="1" s="78"/>
    <row r="630" ht="15.75" customHeight="1" s="78"/>
    <row r="631" ht="15.75" customHeight="1" s="78"/>
    <row r="632" ht="15.75" customHeight="1" s="78"/>
    <row r="633" ht="15.75" customHeight="1" s="78"/>
    <row r="634" ht="15.75" customHeight="1" s="78"/>
    <row r="635" ht="15.75" customHeight="1" s="78"/>
    <row r="636" ht="15.75" customHeight="1" s="78"/>
    <row r="637" ht="15.75" customHeight="1" s="78"/>
    <row r="638" ht="15.75" customHeight="1" s="78"/>
    <row r="639" ht="15.75" customHeight="1" s="78"/>
    <row r="640" ht="15.75" customHeight="1" s="78"/>
    <row r="641" ht="15.75" customHeight="1" s="78"/>
    <row r="642" ht="15.75" customHeight="1" s="78"/>
    <row r="643" ht="15.75" customHeight="1" s="78"/>
    <row r="644" ht="15.75" customHeight="1" s="78"/>
    <row r="645" ht="15.75" customHeight="1" s="78"/>
    <row r="646" ht="15.75" customHeight="1" s="78"/>
    <row r="647" ht="15.75" customHeight="1" s="78"/>
    <row r="648" ht="15.75" customHeight="1" s="78"/>
    <row r="649" ht="15.75" customHeight="1" s="78"/>
    <row r="650" ht="15.75" customHeight="1" s="78"/>
    <row r="651" ht="15.75" customHeight="1" s="78"/>
    <row r="652" ht="15.75" customHeight="1" s="78"/>
    <row r="653" ht="15.75" customHeight="1" s="78"/>
    <row r="654" ht="15.75" customHeight="1" s="78"/>
    <row r="655" ht="15.75" customHeight="1" s="78"/>
    <row r="656" ht="15.75" customHeight="1" s="78"/>
    <row r="657" ht="15.75" customHeight="1" s="78"/>
    <row r="658" ht="15.75" customHeight="1" s="78"/>
    <row r="659" ht="15.75" customHeight="1" s="78"/>
    <row r="660" ht="15.75" customHeight="1" s="78"/>
    <row r="661" ht="15.75" customHeight="1" s="78"/>
    <row r="662" ht="15.75" customHeight="1" s="78"/>
    <row r="663" ht="15.75" customHeight="1" s="78"/>
    <row r="664" ht="15.75" customHeight="1" s="78"/>
    <row r="665" ht="15.75" customHeight="1" s="78"/>
    <row r="666" ht="15.75" customHeight="1" s="78"/>
    <row r="667" ht="15.75" customHeight="1" s="78"/>
    <row r="668" ht="15.75" customHeight="1" s="78"/>
    <row r="669" ht="15.75" customHeight="1" s="78"/>
    <row r="670" ht="15.75" customHeight="1" s="78"/>
    <row r="671" ht="15.75" customHeight="1" s="78"/>
    <row r="672" ht="15.75" customHeight="1" s="78"/>
    <row r="673" ht="15.75" customHeight="1" s="78"/>
    <row r="674" ht="15.75" customHeight="1" s="78"/>
    <row r="675" ht="15.75" customHeight="1" s="78"/>
    <row r="676" ht="15.75" customHeight="1" s="78"/>
    <row r="677" ht="15.75" customHeight="1" s="78"/>
    <row r="678" ht="15.75" customHeight="1" s="78"/>
    <row r="679" ht="15.75" customHeight="1" s="78"/>
    <row r="680" ht="15.75" customHeight="1" s="78"/>
    <row r="681" ht="15.75" customHeight="1" s="78"/>
    <row r="682" ht="15.75" customHeight="1" s="78"/>
    <row r="683" ht="15.75" customHeight="1" s="78"/>
    <row r="684" ht="15.75" customHeight="1" s="78"/>
    <row r="685" ht="15.75" customHeight="1" s="78"/>
    <row r="686" ht="15.75" customHeight="1" s="78"/>
    <row r="687" ht="15.75" customHeight="1" s="78"/>
    <row r="688" ht="15.75" customHeight="1" s="78"/>
    <row r="689" ht="15.75" customHeight="1" s="78"/>
    <row r="690" ht="15.75" customHeight="1" s="78"/>
    <row r="691" ht="15.75" customHeight="1" s="78"/>
    <row r="692" ht="15.75" customHeight="1" s="78"/>
    <row r="693" ht="15.75" customHeight="1" s="78"/>
    <row r="694" ht="15.75" customHeight="1" s="78"/>
    <row r="695" ht="15.75" customHeight="1" s="78"/>
    <row r="696" ht="15.75" customHeight="1" s="78"/>
    <row r="697" ht="15.75" customHeight="1" s="78"/>
    <row r="698" ht="15.75" customHeight="1" s="78"/>
    <row r="699" ht="15.75" customHeight="1" s="78"/>
    <row r="700" ht="15.75" customHeight="1" s="78"/>
    <row r="701" ht="15.75" customHeight="1" s="78"/>
    <row r="702" ht="15.75" customHeight="1" s="78"/>
    <row r="703" ht="15.75" customHeight="1" s="78"/>
    <row r="704" ht="15.75" customHeight="1" s="78"/>
    <row r="705" ht="15.75" customHeight="1" s="78"/>
    <row r="706" ht="15.75" customHeight="1" s="78"/>
    <row r="707" ht="15.75" customHeight="1" s="78"/>
    <row r="708" ht="15.75" customHeight="1" s="78"/>
    <row r="709" ht="15.75" customHeight="1" s="78"/>
    <row r="710" ht="15.75" customHeight="1" s="78"/>
    <row r="711" ht="15.75" customHeight="1" s="78"/>
    <row r="712" ht="15.75" customHeight="1" s="78"/>
    <row r="713" ht="15.75" customHeight="1" s="78"/>
    <row r="714" ht="15.75" customHeight="1" s="78"/>
    <row r="715" ht="15.75" customHeight="1" s="78"/>
    <row r="716" ht="15.75" customHeight="1" s="78"/>
    <row r="717" ht="15.75" customHeight="1" s="78"/>
    <row r="718" ht="15.75" customHeight="1" s="78"/>
    <row r="719" ht="15.75" customHeight="1" s="78"/>
    <row r="720" ht="15.75" customHeight="1" s="78"/>
    <row r="721" ht="15.75" customHeight="1" s="78"/>
    <row r="722" ht="15.75" customHeight="1" s="78"/>
    <row r="723" ht="15.75" customHeight="1" s="78"/>
    <row r="724" ht="15.75" customHeight="1" s="78"/>
    <row r="725" ht="15.75" customHeight="1" s="78"/>
    <row r="726" ht="15.75" customHeight="1" s="78"/>
    <row r="727" ht="15.75" customHeight="1" s="78"/>
    <row r="728" ht="15.75" customHeight="1" s="78"/>
    <row r="729" ht="15.75" customHeight="1" s="78"/>
    <row r="730" ht="15.75" customHeight="1" s="78"/>
    <row r="731" ht="15.75" customHeight="1" s="78"/>
    <row r="732" ht="15.75" customHeight="1" s="78"/>
    <row r="733" ht="15.75" customHeight="1" s="78"/>
    <row r="734" ht="15.75" customHeight="1" s="78"/>
    <row r="735" ht="15.75" customHeight="1" s="78"/>
    <row r="736" ht="15.75" customHeight="1" s="78"/>
    <row r="737" ht="15.75" customHeight="1" s="78"/>
    <row r="738" ht="15.75" customHeight="1" s="78"/>
    <row r="739" ht="15.75" customHeight="1" s="78"/>
    <row r="740" ht="15.75" customHeight="1" s="78"/>
    <row r="741" ht="15.75" customHeight="1" s="78"/>
    <row r="742" ht="15.75" customHeight="1" s="78"/>
    <row r="743" ht="15.75" customHeight="1" s="78"/>
    <row r="744" ht="15.75" customHeight="1" s="78"/>
    <row r="745" ht="15.75" customHeight="1" s="78"/>
    <row r="746" ht="15.75" customHeight="1" s="78"/>
    <row r="747" ht="15.75" customHeight="1" s="78"/>
    <row r="748" ht="15.75" customHeight="1" s="78"/>
    <row r="749" ht="15.75" customHeight="1" s="78"/>
    <row r="750" ht="15.75" customHeight="1" s="78"/>
    <row r="751" ht="15.75" customHeight="1" s="78"/>
    <row r="752" ht="15.75" customHeight="1" s="78"/>
    <row r="753" ht="15.75" customHeight="1" s="78"/>
    <row r="754" ht="15.75" customHeight="1" s="78"/>
    <row r="755" ht="15.75" customHeight="1" s="78"/>
    <row r="756" ht="15.75" customHeight="1" s="78"/>
    <row r="757" ht="15.75" customHeight="1" s="78"/>
    <row r="758" ht="15.75" customHeight="1" s="78"/>
    <row r="759" ht="15.75" customHeight="1" s="78"/>
    <row r="760" ht="15.75" customHeight="1" s="78"/>
    <row r="761" ht="15.75" customHeight="1" s="78"/>
    <row r="762" ht="15.75" customHeight="1" s="78"/>
    <row r="763" ht="15.75" customHeight="1" s="78"/>
    <row r="764" ht="15.75" customHeight="1" s="78"/>
    <row r="765" ht="15.75" customHeight="1" s="78"/>
    <row r="766" ht="15.75" customHeight="1" s="78"/>
    <row r="767" ht="15.75" customHeight="1" s="78"/>
    <row r="768" ht="15.75" customHeight="1" s="78"/>
    <row r="769" ht="15.75" customHeight="1" s="78"/>
    <row r="770" ht="15.75" customHeight="1" s="78"/>
    <row r="771" ht="15.75" customHeight="1" s="78"/>
    <row r="772" ht="15.75" customHeight="1" s="78"/>
    <row r="773" ht="15.75" customHeight="1" s="78"/>
    <row r="774" ht="15.75" customHeight="1" s="78"/>
    <row r="775" ht="15.75" customHeight="1" s="78"/>
    <row r="776" ht="15.75" customHeight="1" s="78"/>
    <row r="777" ht="15.75" customHeight="1" s="78"/>
    <row r="778" ht="15.75" customHeight="1" s="78"/>
    <row r="779" ht="15.75" customHeight="1" s="78"/>
    <row r="780" ht="15.75" customHeight="1" s="78"/>
    <row r="781" ht="15.75" customHeight="1" s="78"/>
    <row r="782" ht="15.75" customHeight="1" s="78"/>
    <row r="783" ht="15.75" customHeight="1" s="78"/>
    <row r="784" ht="15.75" customHeight="1" s="78"/>
    <row r="785" ht="15.75" customHeight="1" s="78"/>
    <row r="786" ht="15.75" customHeight="1" s="78"/>
    <row r="787" ht="15.75" customHeight="1" s="78"/>
    <row r="788" ht="15.75" customHeight="1" s="78"/>
    <row r="789" ht="15.75" customHeight="1" s="78"/>
    <row r="790" ht="15.75" customHeight="1" s="78"/>
    <row r="791" ht="15.75" customHeight="1" s="78"/>
    <row r="792" ht="15.75" customHeight="1" s="78"/>
    <row r="793" ht="15.75" customHeight="1" s="78"/>
    <row r="794" ht="15.75" customHeight="1" s="78"/>
    <row r="795" ht="15.75" customHeight="1" s="78"/>
    <row r="796" ht="15.75" customHeight="1" s="78"/>
    <row r="797" ht="15.75" customHeight="1" s="78"/>
    <row r="798" ht="15.75" customHeight="1" s="78"/>
    <row r="799" ht="15.75" customHeight="1" s="78"/>
    <row r="800" ht="15.75" customHeight="1" s="78"/>
    <row r="801" ht="15.75" customHeight="1" s="78"/>
    <row r="802" ht="15.75" customHeight="1" s="78"/>
    <row r="803" ht="15.75" customHeight="1" s="78"/>
    <row r="804" ht="15.75" customHeight="1" s="78"/>
    <row r="805" ht="15.75" customHeight="1" s="78"/>
    <row r="806" ht="15.75" customHeight="1" s="78"/>
    <row r="807" ht="15.75" customHeight="1" s="78"/>
    <row r="808" ht="15.75" customHeight="1" s="78"/>
    <row r="809" ht="15.75" customHeight="1" s="78"/>
    <row r="810" ht="15.75" customHeight="1" s="78"/>
    <row r="811" ht="15.75" customHeight="1" s="78"/>
    <row r="812" ht="15.75" customHeight="1" s="78"/>
    <row r="813" ht="15.75" customHeight="1" s="78"/>
    <row r="814" ht="15.75" customHeight="1" s="78"/>
    <row r="815" ht="15.75" customHeight="1" s="78"/>
    <row r="816" ht="15.75" customHeight="1" s="78"/>
    <row r="817" ht="15.75" customHeight="1" s="78"/>
    <row r="818" ht="15.75" customHeight="1" s="78"/>
    <row r="819" ht="15.75" customHeight="1" s="78"/>
    <row r="820" ht="15.75" customHeight="1" s="78"/>
    <row r="821" ht="15.75" customHeight="1" s="78"/>
    <row r="822" ht="15.75" customHeight="1" s="78"/>
    <row r="823" ht="15.75" customHeight="1" s="78"/>
    <row r="824" ht="15.75" customHeight="1" s="78"/>
    <row r="825" ht="15.75" customHeight="1" s="78"/>
    <row r="826" ht="15.75" customHeight="1" s="78"/>
    <row r="827" ht="15.75" customHeight="1" s="78"/>
    <row r="828" ht="15.75" customHeight="1" s="78"/>
    <row r="829" ht="15.75" customHeight="1" s="78"/>
    <row r="830" ht="15.75" customHeight="1" s="78"/>
    <row r="831" ht="15.75" customHeight="1" s="78"/>
    <row r="832" ht="15.75" customHeight="1" s="78"/>
    <row r="833" ht="15.75" customHeight="1" s="78"/>
    <row r="834" ht="15.75" customHeight="1" s="78"/>
    <row r="835" ht="15.75" customHeight="1" s="78"/>
    <row r="836" ht="15.75" customHeight="1" s="78"/>
    <row r="837" ht="15.75" customHeight="1" s="78"/>
    <row r="838" ht="15.75" customHeight="1" s="78"/>
    <row r="839" ht="15.75" customHeight="1" s="78"/>
    <row r="840" ht="15.75" customHeight="1" s="78"/>
    <row r="841" ht="15.75" customHeight="1" s="78"/>
    <row r="842" ht="15.75" customHeight="1" s="78"/>
    <row r="843" ht="15.75" customHeight="1" s="78"/>
    <row r="844" ht="15.75" customHeight="1" s="78"/>
    <row r="845" ht="15.75" customHeight="1" s="78"/>
    <row r="846" ht="15.75" customHeight="1" s="78"/>
    <row r="847" ht="15.75" customHeight="1" s="78"/>
    <row r="848" ht="15.75" customHeight="1" s="78"/>
    <row r="849" ht="15.75" customHeight="1" s="78"/>
    <row r="850" ht="15.75" customHeight="1" s="78"/>
    <row r="851" ht="15.75" customHeight="1" s="78"/>
    <row r="852" ht="15.75" customHeight="1" s="78"/>
    <row r="853" ht="15.75" customHeight="1" s="78"/>
    <row r="854" ht="15.75" customHeight="1" s="78"/>
    <row r="855" ht="15.75" customHeight="1" s="78"/>
    <row r="856" ht="15.75" customHeight="1" s="78"/>
    <row r="857" ht="15.75" customHeight="1" s="78"/>
    <row r="858" ht="15.75" customHeight="1" s="78"/>
    <row r="859" ht="15.75" customHeight="1" s="78"/>
    <row r="860" ht="15.75" customHeight="1" s="78"/>
    <row r="861" ht="15.75" customHeight="1" s="78"/>
    <row r="862" ht="15.75" customHeight="1" s="78"/>
    <row r="863" ht="15.75" customHeight="1" s="78"/>
    <row r="864" ht="15.75" customHeight="1" s="78"/>
    <row r="865" ht="15.75" customHeight="1" s="78"/>
    <row r="866" ht="15.75" customHeight="1" s="78"/>
    <row r="867" ht="15.75" customHeight="1" s="78"/>
    <row r="868" ht="15.75" customHeight="1" s="78"/>
    <row r="869" ht="15.75" customHeight="1" s="78"/>
    <row r="870" ht="15.75" customHeight="1" s="78"/>
    <row r="871" ht="15.75" customHeight="1" s="78"/>
    <row r="872" ht="15.75" customHeight="1" s="78"/>
    <row r="873" ht="15.75" customHeight="1" s="78"/>
    <row r="874" ht="15.75" customHeight="1" s="78"/>
    <row r="875" ht="15.75" customHeight="1" s="78"/>
    <row r="876" ht="15.75" customHeight="1" s="78"/>
    <row r="877" ht="15.75" customHeight="1" s="78"/>
    <row r="878" ht="15.75" customHeight="1" s="78"/>
    <row r="879" ht="15.75" customHeight="1" s="78"/>
    <row r="880" ht="15.75" customHeight="1" s="78"/>
    <row r="881" ht="15.75" customHeight="1" s="78"/>
    <row r="882" ht="15.75" customHeight="1" s="78"/>
    <row r="883" ht="15.75" customHeight="1" s="78"/>
    <row r="884" ht="15.75" customHeight="1" s="78"/>
    <row r="885" ht="15.75" customHeight="1" s="78"/>
    <row r="886" ht="15.75" customHeight="1" s="78"/>
    <row r="887" ht="15.75" customHeight="1" s="78"/>
    <row r="888" ht="15.75" customHeight="1" s="78"/>
    <row r="889" ht="15.75" customHeight="1" s="78"/>
    <row r="890" ht="15.75" customHeight="1" s="78"/>
    <row r="891" ht="15.75" customHeight="1" s="78"/>
    <row r="892" ht="15.75" customHeight="1" s="78"/>
    <row r="893" ht="15.75" customHeight="1" s="78"/>
    <row r="894" ht="15.75" customHeight="1" s="78"/>
    <row r="895" ht="15.75" customHeight="1" s="78"/>
    <row r="896" ht="15.75" customHeight="1" s="78"/>
    <row r="897" ht="15.75" customHeight="1" s="78"/>
    <row r="898" ht="15.75" customHeight="1" s="78"/>
    <row r="899" ht="15.75" customHeight="1" s="78"/>
    <row r="900" ht="15.75" customHeight="1" s="78"/>
    <row r="901" ht="15.75" customHeight="1" s="78"/>
    <row r="902" ht="15.75" customHeight="1" s="78"/>
    <row r="903" ht="15.75" customHeight="1" s="78"/>
    <row r="904" ht="15.75" customHeight="1" s="78"/>
    <row r="905" ht="15.75" customHeight="1" s="78"/>
    <row r="906" ht="15.75" customHeight="1" s="78"/>
    <row r="907" ht="15.75" customHeight="1" s="78"/>
    <row r="908" ht="15.75" customHeight="1" s="78"/>
    <row r="909" ht="15.75" customHeight="1" s="78"/>
    <row r="910" ht="15.75" customHeight="1" s="78"/>
    <row r="911" ht="15.75" customHeight="1" s="78"/>
    <row r="912" ht="15.75" customHeight="1" s="78"/>
    <row r="913" ht="15.75" customHeight="1" s="78"/>
    <row r="914" ht="15.75" customHeight="1" s="78"/>
    <row r="915" ht="15.75" customHeight="1" s="78"/>
    <row r="916" ht="15.75" customHeight="1" s="78"/>
    <row r="917" ht="15.75" customHeight="1" s="78"/>
    <row r="918" ht="15.75" customHeight="1" s="78"/>
    <row r="919" ht="15.75" customHeight="1" s="78"/>
    <row r="920" ht="15.75" customHeight="1" s="78"/>
    <row r="921" ht="15.75" customHeight="1" s="78"/>
    <row r="922" ht="15.75" customHeight="1" s="78"/>
    <row r="923" ht="15.75" customHeight="1" s="78"/>
    <row r="924" ht="15.75" customHeight="1" s="78"/>
    <row r="925" ht="15.75" customHeight="1" s="78"/>
    <row r="926" ht="15.75" customHeight="1" s="78"/>
    <row r="927" ht="15.75" customHeight="1" s="78"/>
    <row r="928" ht="15.75" customHeight="1" s="78"/>
    <row r="929" ht="15.75" customHeight="1" s="78"/>
    <row r="930" ht="15.75" customHeight="1" s="78"/>
    <row r="931" ht="15.75" customHeight="1" s="78"/>
    <row r="932" ht="15.75" customHeight="1" s="78"/>
    <row r="933" ht="15.75" customHeight="1" s="78"/>
    <row r="934" ht="15.75" customHeight="1" s="78"/>
    <row r="935" ht="15.75" customHeight="1" s="78"/>
    <row r="936" ht="15.75" customHeight="1" s="78"/>
    <row r="937" ht="15.75" customHeight="1" s="78"/>
    <row r="938" ht="15.75" customHeight="1" s="78"/>
    <row r="939" ht="15.75" customHeight="1" s="78"/>
    <row r="940" ht="15.75" customHeight="1" s="78"/>
    <row r="941" ht="15.75" customHeight="1" s="78"/>
    <row r="942" ht="15.75" customHeight="1" s="78"/>
    <row r="943" ht="15.75" customHeight="1" s="78"/>
    <row r="944" ht="15.75" customHeight="1" s="78"/>
    <row r="945" ht="15.75" customHeight="1" s="78"/>
    <row r="946" ht="15.75" customHeight="1" s="78"/>
    <row r="947" ht="15.75" customHeight="1" s="78"/>
    <row r="948" ht="15.75" customHeight="1" s="78"/>
    <row r="949" ht="15.75" customHeight="1" s="78"/>
    <row r="950" ht="15.75" customHeight="1" s="78"/>
    <row r="951" ht="15.75" customHeight="1" s="78"/>
    <row r="952" ht="15.75" customHeight="1" s="78"/>
    <row r="953" ht="15.75" customHeight="1" s="78"/>
    <row r="954" ht="15.75" customHeight="1" s="78"/>
    <row r="955" ht="15.75" customHeight="1" s="78"/>
    <row r="956" ht="15.75" customHeight="1" s="78"/>
    <row r="957" ht="15.75" customHeight="1" s="78"/>
    <row r="958" ht="15.75" customHeight="1" s="78"/>
    <row r="959" ht="15.75" customHeight="1" s="78"/>
    <row r="960" ht="15.75" customHeight="1" s="78"/>
    <row r="961" ht="15.75" customHeight="1" s="78"/>
    <row r="962" ht="15.75" customHeight="1" s="78"/>
    <row r="963" ht="15.75" customHeight="1" s="78"/>
    <row r="964" ht="15.75" customHeight="1" s="78"/>
    <row r="965" ht="15.75" customHeight="1" s="78"/>
    <row r="966" ht="15.75" customHeight="1" s="78"/>
    <row r="967" ht="15.75" customHeight="1" s="78"/>
    <row r="968" ht="15.75" customHeight="1" s="78"/>
    <row r="969" ht="15.75" customHeight="1" s="78"/>
    <row r="970" ht="15.75" customHeight="1" s="78"/>
    <row r="971" ht="15.75" customHeight="1" s="78"/>
    <row r="972" ht="15.75" customHeight="1" s="78"/>
    <row r="973" ht="15.75" customHeight="1" s="78"/>
    <row r="974" ht="15.75" customHeight="1" s="78"/>
    <row r="975" ht="15.75" customHeight="1" s="78"/>
    <row r="976" ht="15.75" customHeight="1" s="78"/>
    <row r="977" ht="15.75" customHeight="1" s="78"/>
    <row r="978" ht="15.75" customHeight="1" s="78"/>
    <row r="979" ht="15.75" customHeight="1" s="78"/>
    <row r="980" ht="15.75" customHeight="1" s="78"/>
    <row r="981" ht="15.75" customHeight="1" s="78"/>
    <row r="982" ht="15.75" customHeight="1" s="78"/>
    <row r="983" ht="15.75" customHeight="1" s="78"/>
    <row r="984" ht="15.75" customHeight="1" s="78"/>
    <row r="985" ht="15.75" customHeight="1" s="78"/>
    <row r="986" ht="15.75" customHeight="1" s="78"/>
    <row r="987" ht="15.75" customHeight="1" s="78"/>
    <row r="988" ht="15.75" customHeight="1" s="78"/>
    <row r="989" ht="15.75" customHeight="1" s="78"/>
    <row r="990" ht="15.75" customHeight="1" s="78"/>
    <row r="991" ht="15.75" customHeight="1" s="78"/>
    <row r="992" ht="15.75" customHeight="1" s="78"/>
    <row r="993" ht="15.75" customHeight="1" s="78"/>
    <row r="994" ht="15.75" customHeight="1" s="78"/>
    <row r="995" ht="15.75" customHeight="1" s="78"/>
    <row r="996" ht="15.75" customHeight="1" s="78"/>
    <row r="997" ht="15.75" customHeight="1" s="78"/>
    <row r="998" ht="15.75" customHeight="1" s="78"/>
    <row r="999" ht="15.75" customHeight="1" s="78"/>
    <row r="1000" ht="15.75" customHeight="1" s="78"/>
  </sheetData>
  <mergeCells count="19">
    <mergeCell ref="A41:F41"/>
    <mergeCell ref="E43:F43"/>
    <mergeCell ref="E42:F42"/>
    <mergeCell ref="A43:D43"/>
    <mergeCell ref="E48:F48"/>
    <mergeCell ref="E44:F44"/>
    <mergeCell ref="A44:D44"/>
    <mergeCell ref="A48:D48"/>
    <mergeCell ref="A49:D49"/>
    <mergeCell ref="A45:D45"/>
    <mergeCell ref="E46:F46"/>
    <mergeCell ref="E49:F49"/>
    <mergeCell ref="E45:F45"/>
    <mergeCell ref="A46:D46"/>
    <mergeCell ref="A1:F1"/>
    <mergeCell ref="A47:D47"/>
    <mergeCell ref="A42:D42"/>
    <mergeCell ref="A2:M2"/>
    <mergeCell ref="E47:F47"/>
  </mergeCells>
  <dataValidations count="1">
    <dataValidation sqref="F5:F39" showDropDown="0" showInputMessage="0" showErrorMessage="0" allowBlank="1" type="list">
      <formula1>"Pass,Partial,Fail,Not Tested,N/A"</formula1>
    </dataValidation>
  </dataValidations>
  <pageMargins left="0.75" right="0.75" top="1" bottom="1" header="0" footer="0"/>
  <pageSetup orientation="landscape" fitToHeight="0"/>
</worksheet>
</file>

<file path=xl/worksheets/sheet9.xml><?xml version="1.0" encoding="utf-8"?>
<worksheet xmlns="http://schemas.openxmlformats.org/spreadsheetml/2006/main">
  <sheetPr>
    <outlinePr summaryBelow="1" summaryRight="1"/>
    <pageSetUpPr fitToPage="1"/>
  </sheetPr>
  <dimension ref="A1:J22"/>
  <sheetViews>
    <sheetView workbookViewId="0">
      <pane ySplit="4" topLeftCell="A5" activePane="bottomLeft" state="frozen"/>
      <selection pane="bottomLeft" activeCell="A1" sqref="A1"/>
    </sheetView>
  </sheetViews>
  <sheetFormatPr baseColWidth="8" defaultColWidth="14.43" defaultRowHeight="15" customHeight="1"/>
  <cols>
    <col width="6" customWidth="1" style="78" min="1" max="1"/>
    <col width="46" customWidth="1" style="78" min="2" max="2"/>
    <col width="26" customWidth="1" style="78" min="3" max="3"/>
    <col width="9" customWidth="1" style="78" min="4" max="4"/>
    <col width="13.71" customWidth="1" style="78" min="5" max="5"/>
    <col width="9" customWidth="1" style="78" min="6" max="6"/>
    <col width="40" customWidth="1" style="78" min="7" max="7"/>
    <col width="11" customWidth="1" style="78" min="8" max="8"/>
    <col width="8" customWidth="1" style="78" min="9" max="9"/>
    <col width="50" customWidth="1" style="78" min="10" max="10"/>
    <col width="8.710000000000001" customWidth="1" style="78" min="11" max="26"/>
  </cols>
  <sheetData>
    <row r="1">
      <c r="A1" s="76" t="inlineStr">
        <is>
          <t>Financial Transaction Accessibility (Supplemental) Fidelity Mobile (Fidelity Bank, Nigeria)</t>
        </is>
      </c>
    </row>
    <row r="2" ht="15" customHeight="1" s="78">
      <c r="A2" s="6" t="inlineStr">
        <is>
          <t>Not part of WCAG. Grounded in GSMA Mobile Money Accessibility Guidelines, ITU-T F.921, and EN 301 549's authentication / real-time-transaction clauses. Blue cells are inputs.</t>
        </is>
      </c>
    </row>
    <row r="4" ht="30" customHeight="1" s="78">
      <c r="A4" s="8" t="inlineStr">
        <is>
          <t>Ref</t>
        </is>
      </c>
      <c r="B4" s="8" t="inlineStr">
        <is>
          <t>Check</t>
        </is>
      </c>
      <c r="C4" s="8" t="inlineStr">
        <is>
          <t>Standard reference</t>
        </is>
      </c>
      <c r="D4" s="8" t="inlineStr">
        <is>
          <t>Weight
(1-3)</t>
        </is>
      </c>
      <c r="E4" s="8" t="inlineStr">
        <is>
          <t>Status</t>
        </is>
      </c>
      <c r="F4" s="8" t="inlineStr">
        <is>
          <t>Status
score</t>
        </is>
      </c>
      <c r="G4" s="8" t="inlineStr">
        <is>
          <t>Notes / Evidence</t>
        </is>
      </c>
      <c r="H4" s="8" t="inlineStr">
        <is>
          <t>Weighted
score</t>
        </is>
      </c>
      <c r="I4" s="18" t="inlineStr">
        <is>
          <t>Tested?</t>
        </is>
      </c>
      <c r="J4" s="8" t="inlineStr">
        <is>
          <t>Recommended Improvement</t>
        </is>
      </c>
    </row>
    <row r="5">
      <c r="A5" s="10" t="inlineStr">
        <is>
          <t>T1</t>
        </is>
      </c>
      <c r="B5" s="17" t="inlineStr">
        <is>
          <t>Transaction confirmation screen states recipient, amount, currency and fee as one clear announced statement before an irreversible send.</t>
        </is>
      </c>
      <c r="C5" s="39" t="inlineStr">
        <is>
          <t>WCAG 3.3.4; GSMA MM Accessibility Guideline 4.2</t>
        </is>
      </c>
      <c r="D5" s="23" t="n">
        <v>3</v>
      </c>
      <c r="E5" s="43" t="inlineStr">
        <is>
          <t>Not Tested</t>
        </is>
      </c>
      <c r="F5" s="15">
        <f>IF(E5="Pass",1,IF(E5="Partial",0.5,IF(E5="Fail",0,0)))</f>
        <v/>
      </c>
      <c r="G5" s="34" t="inlineStr">
        <is>
          <t>No review / confirm screen was captured.</t>
        </is>
      </c>
      <c r="H5" s="15">
        <f>D5*F5</f>
        <v/>
      </c>
      <c r="I5" s="15">
        <f>IF(OR(E5="Pass",E5="Partial",E5="Fail"),1,0)</f>
        <v/>
      </c>
      <c r="J5" s="62" t="inlineStr">
        <is>
          <t>No fix to prescribe yet - conduct the manual test first to confirm actual status.</t>
        </is>
      </c>
    </row>
    <row r="6">
      <c r="A6" s="22" t="inlineStr">
        <is>
          <t>T2</t>
        </is>
      </c>
      <c r="B6" s="33" t="inlineStr">
        <is>
          <t>Time allowed to enter an OTP/PIN or confirm a transfer can be extended, and is not so short that assistive-tech input causes failure.</t>
        </is>
      </c>
      <c r="C6" s="46" t="inlineStr">
        <is>
          <t>WCAG 2.2.1; EN 301 549 §11.7</t>
        </is>
      </c>
      <c r="D6" s="42" t="n">
        <v>2</v>
      </c>
      <c r="E6" s="50" t="inlineStr">
        <is>
          <t>Not Tested</t>
        </is>
      </c>
      <c r="F6" s="29">
        <f>IF(E6="Pass",1,IF(E6="Partial",0.5,IF(E6="Fail",0,0)))</f>
        <v/>
      </c>
      <c r="G6" s="45" t="inlineStr">
        <is>
          <t>Requires manual timing test with TalkBack enabled.</t>
        </is>
      </c>
      <c r="H6" s="29">
        <f>D6*F6</f>
        <v/>
      </c>
      <c r="I6" s="29">
        <f>IF(OR(E6="Pass",E6="Partial",E6="Fail"),1,0)</f>
        <v/>
      </c>
      <c r="J6" s="57" t="inlineStr">
        <is>
          <t>No fix to prescribe yet - conduct the manual test first to confirm actual status.</t>
        </is>
      </c>
    </row>
    <row r="7">
      <c r="A7" s="10" t="inlineStr">
        <is>
          <t>T3</t>
        </is>
      </c>
      <c r="B7" s="17" t="inlineStr">
        <is>
          <t>Transaction success or failure is announced non-visually (spoken/haptic), not only as an on-screen toast.</t>
        </is>
      </c>
      <c r="C7" s="39" t="inlineStr">
        <is>
          <t>WCAG 4.1.3; GSMA MM Accessibility Guideline 4.4</t>
        </is>
      </c>
      <c r="D7" s="23" t="n">
        <v>3</v>
      </c>
      <c r="E7" s="50" t="inlineStr">
        <is>
          <t>Not Tested</t>
        </is>
      </c>
      <c r="F7" s="15">
        <f>IF(E7="Pass",1,IF(E7="Partial",0.5,IF(E7="Fail",0,0)))</f>
        <v/>
      </c>
      <c r="G7" s="34" t="inlineStr">
        <is>
          <t>Requires manual test; automated scanning cannot capture transient toast messages.</t>
        </is>
      </c>
      <c r="H7" s="15">
        <f>D7*F7</f>
        <v/>
      </c>
      <c r="I7" s="15">
        <f>IF(OR(E7="Pass",E7="Partial",E7="Fail"),1,0)</f>
        <v/>
      </c>
      <c r="J7" s="53" t="inlineStr">
        <is>
          <t>No fix to prescribe yet - conduct the manual test first to confirm actual status.</t>
        </is>
      </c>
    </row>
    <row r="8">
      <c r="A8" s="22" t="inlineStr">
        <is>
          <t>T4</t>
        </is>
      </c>
      <c r="B8" s="33" t="inlineStr">
        <is>
          <t>Digital receipts / statements (SMS, email, in-app PDF) are delivered as accessible text, not a flattened image.</t>
        </is>
      </c>
      <c r="C8" s="46" t="inlineStr">
        <is>
          <t>GSMA MM Accessibility Guideline 5.1</t>
        </is>
      </c>
      <c r="D8" s="42" t="n">
        <v>2</v>
      </c>
      <c r="E8" s="50" t="inlineStr">
        <is>
          <t>Not Tested</t>
        </is>
      </c>
      <c r="F8" s="29">
        <f>IF(E8="Pass",1,IF(E8="Partial",0.5,IF(E8="Fail",0,0)))</f>
        <v/>
      </c>
      <c r="G8" s="45" t="inlineStr">
        <is>
          <t>No statement or receipt export was captured in this session.</t>
        </is>
      </c>
      <c r="H8" s="29">
        <f>D8*F8</f>
        <v/>
      </c>
      <c r="I8" s="29">
        <f>IF(OR(E8="Pass",E8="Partial",E8="Fail"),1,0)</f>
        <v/>
      </c>
      <c r="J8" s="57" t="inlineStr">
        <is>
          <t>No fix to prescribe yet - conduct the manual test first to confirm actual status.</t>
        </is>
      </c>
    </row>
    <row r="9">
      <c r="A9" s="10" t="inlineStr">
        <is>
          <t>T5</t>
        </is>
      </c>
      <c r="B9" s="17" t="inlineStr">
        <is>
          <t>Amounts and currency are unambiguous when read aloud (e.g. 'RWF 1,000' is not mis-announced as a date or misread digit-by-digit).</t>
        </is>
      </c>
      <c r="C9" s="39" t="inlineStr">
        <is>
          <t>ITU-T F.921 §6.3</t>
        </is>
      </c>
      <c r="D9" s="23" t="n">
        <v>2</v>
      </c>
      <c r="E9" s="50" t="inlineStr">
        <is>
          <t>Not Tested</t>
        </is>
      </c>
      <c r="F9" s="15">
        <f>IF(E9="Pass",1,IF(E9="Partial",0.5,IF(E9="Fail",0,0)))</f>
        <v/>
      </c>
      <c r="G9" s="34" t="inlineStr">
        <is>
          <t>Currency notation is inconsistent: '₦114,064.74' with the ₦ as a separate element (4, 5), 'NGN 0' (38), and the amount field has no symbol ('60,000.00') (19). Read-aloud not tested.</t>
        </is>
      </c>
      <c r="H9" s="15">
        <f>D9*F9</f>
        <v/>
      </c>
      <c r="I9" s="15">
        <f>IF(OR(E9="Pass",E9="Partial",E9="Fail"),1,0)</f>
        <v/>
      </c>
      <c r="J9" s="53" t="inlineStr">
        <is>
          <t>No fix to prescribe yet - conduct the manual test first to confirm actual status.</t>
        </is>
      </c>
    </row>
    <row r="10">
      <c r="A10" s="22" t="inlineStr">
        <is>
          <t>T6</t>
        </is>
      </c>
      <c r="B10" s="33" t="inlineStr">
        <is>
          <t>A non-touchscreen channel (USSD, IVR, or agent-assisted banking) exists for users who cannot operate a smartphone app, and that channel is itself usable non-visually.</t>
        </is>
      </c>
      <c r="C10" s="46" t="inlineStr">
        <is>
          <t>GSMA MM Accessibility Guideline 2.1; ITU-D digital financial inclusion guidance</t>
        </is>
      </c>
      <c r="D10" s="42" t="n">
        <v>3</v>
      </c>
      <c r="E10" s="50" t="inlineStr">
        <is>
          <t>Not Tested</t>
        </is>
      </c>
      <c r="F10" s="29">
        <f>IF(E10="Pass",1,IF(E10="Partial",0.5,IF(E10="Fail",0,0)))</f>
        <v/>
      </c>
      <c r="G10" s="45" t="inlineStr">
        <is>
          <t>Out of scope for this app-only scan. USSD banking is widely used in Nigeria, and this scorecard has not evaluated that channel at all.</t>
        </is>
      </c>
      <c r="H10" s="29">
        <f>D10*F10</f>
        <v/>
      </c>
      <c r="I10" s="29">
        <f>IF(OR(E10="Pass",E10="Partial",E10="Fail"),1,0)</f>
        <v/>
      </c>
      <c r="J10" s="57" t="inlineStr">
        <is>
          <t>No fix to prescribe yet - conduct the manual test first to confirm actual status.</t>
        </is>
      </c>
    </row>
    <row r="11">
      <c r="A11" s="10" t="inlineStr">
        <is>
          <t>T7</t>
        </is>
      </c>
      <c r="B11" s="17" t="inlineStr">
        <is>
          <t>Biometric login is offered as an alternative to a spoken/visible PIN.</t>
        </is>
      </c>
      <c r="C11" s="39" t="inlineStr">
        <is>
          <t>WCAG 3.3.7/3.3.8</t>
        </is>
      </c>
      <c r="D11" s="23" t="n">
        <v>2</v>
      </c>
      <c r="E11" s="50" t="inlineStr">
        <is>
          <t>Pass</t>
        </is>
      </c>
      <c r="F11" s="15">
        <f>IF(E11="Pass",1,IF(E11="Partial",0.5,IF(E11="Fail",0,0)))</f>
        <v/>
      </c>
      <c r="G11" s="34" t="inlineStr">
        <is>
          <t>Fingerprint login option is present in the password field (1-3).</t>
        </is>
      </c>
      <c r="H11" s="15">
        <f>D11*F11</f>
        <v/>
      </c>
      <c r="I11" s="15">
        <f>IF(OR(E11="Pass",E11="Partial",E11="Fail"),1,0)</f>
        <v/>
      </c>
      <c r="J11" s="53" t="inlineStr">
        <is>
          <t>No action needed on current evidence. Label the icon.</t>
        </is>
      </c>
    </row>
    <row r="12">
      <c r="A12" s="22" t="inlineStr">
        <is>
          <t>T8</t>
        </is>
      </c>
      <c r="B12" s="33" t="inlineStr">
        <is>
          <t>Fraud/security alerts and a dispute or help-escalation path are reachable and readable with a screen reader.</t>
        </is>
      </c>
      <c r="C12" s="46" t="inlineStr">
        <is>
          <t>EN 301 549 §11.8; GSMA MM Accessibility Guideline 4.5</t>
        </is>
      </c>
      <c r="D12" s="42" t="n">
        <v>2</v>
      </c>
      <c r="E12" s="43" t="inlineStr">
        <is>
          <t>Not Tested</t>
        </is>
      </c>
      <c r="F12" s="29">
        <f>IF(E12="Pass",1,IF(E12="Partial",0.5,IF(E12="Fail",0,0)))</f>
        <v/>
      </c>
      <c r="G12" s="45" t="inlineStr">
        <is>
          <t>A Support tab exists (4) but was not opened.</t>
        </is>
      </c>
      <c r="H12" s="29">
        <f>D12*F12</f>
        <v/>
      </c>
      <c r="I12" s="29">
        <f>IF(OR(E12="Pass",E12="Partial",E12="Fail"),1,0)</f>
        <v/>
      </c>
      <c r="J12" s="47" t="inlineStr">
        <is>
          <t>No fix to prescribe yet - conduct the manual test first to confirm actual status.</t>
        </is>
      </c>
    </row>
    <row r="13">
      <c r="A13" s="10" t="inlineStr">
        <is>
          <t>T9</t>
        </is>
      </c>
      <c r="B13" s="17" t="inlineStr">
        <is>
          <t>Transaction limits, fees and exchange rates are disclosed as accessible text before confirmation, not only visually.</t>
        </is>
      </c>
      <c r="C13" s="39" t="inlineStr">
        <is>
          <t>WCAG 3.3.4; consumer-protection disclosure norms (e.g. AFI / GSMA)</t>
        </is>
      </c>
      <c r="D13" s="23" t="n">
        <v>3</v>
      </c>
      <c r="E13" s="43" t="inlineStr">
        <is>
          <t>Partial</t>
        </is>
      </c>
      <c r="F13" s="15">
        <f>IF(E13="Pass",1,IF(E13="Partial",0.5,IF(E13="Fail",0,0)))</f>
        <v/>
      </c>
      <c r="G13" s="34" t="inlineStr">
        <is>
          <t>The daily limit and remaining limit are disclosed on the transfer forms ('Daily: ₦250,000,000 | Rem: ...') (12, 26), but at 2.83:1 contrast. Fees were not observed.</t>
        </is>
      </c>
      <c r="H13" s="15">
        <f>D13*F13</f>
        <v/>
      </c>
      <c r="I13" s="15">
        <f>IF(OR(E13="Pass",E13="Partial",E13="Fail"),1,0)</f>
        <v/>
      </c>
      <c r="J13" s="62" t="inlineStr">
        <is>
          <t>Show the fee before confirmation, and raise the limit text contrast to 4.5:1.</t>
        </is>
      </c>
    </row>
    <row r="14">
      <c r="A14" s="22" t="inlineStr">
        <is>
          <t>T10</t>
        </is>
      </c>
      <c r="B14" s="33" t="inlineStr">
        <is>
          <t>A multi-step transaction does not require re-entering the same information (e.g. phone number typed once, reused for confirmation).</t>
        </is>
      </c>
      <c r="C14" s="46" t="inlineStr">
        <is>
          <t>WCAG 3.3.9</t>
        </is>
      </c>
      <c r="D14" s="42" t="n">
        <v>1</v>
      </c>
      <c r="E14" s="50" t="inlineStr">
        <is>
          <t>Not Tested</t>
        </is>
      </c>
      <c r="F14" s="29">
        <f>IF(E14="Pass",1,IF(E14="Partial",0.5,IF(E14="Fail",0,0)))</f>
        <v/>
      </c>
      <c r="G14" s="45" t="inlineStr">
        <is>
          <t>Beneficiary name auto-fill, saved beneficiaries and contact picker are present (9, 19, 37).</t>
        </is>
      </c>
      <c r="H14" s="29">
        <f>D14*F14</f>
        <v/>
      </c>
      <c r="I14" s="29">
        <f>IF(OR(E14="Pass",E14="Partial",E14="Fail"),1,0)</f>
        <v/>
      </c>
      <c r="J14" s="57" t="inlineStr">
        <is>
          <t>No fix to prescribe yet - conduct the manual test first to confirm actual status.</t>
        </is>
      </c>
    </row>
    <row r="15">
      <c r="A15" s="10" t="inlineStr">
        <is>
          <t>T11</t>
        </is>
      </c>
      <c r="B15" s="17" t="inlineStr">
        <is>
          <t>Switching app language does not reset or lose an in-progress transaction, and the switcher itself is screen-reader accessible.</t>
        </is>
      </c>
      <c r="C15" s="39" t="inlineStr">
        <is>
          <t>WCAG 3.1.2; EN 301 549 §11.9</t>
        </is>
      </c>
      <c r="D15" s="23" t="n">
        <v>1</v>
      </c>
      <c r="E15" s="50" t="inlineStr">
        <is>
          <t>Not Tested</t>
        </is>
      </c>
      <c r="F15" s="15">
        <f>IF(E15="Pass",1,IF(E15="Partial",0.5,IF(E15="Fail",0,0)))</f>
        <v/>
      </c>
      <c r="G15" s="34" t="inlineStr">
        <is>
          <t>No language selector observed.</t>
        </is>
      </c>
      <c r="H15" s="15">
        <f>D15*F15</f>
        <v/>
      </c>
      <c r="I15" s="15">
        <f>IF(OR(E15="Pass",E15="Partial",E15="Fail"),1,0)</f>
        <v/>
      </c>
      <c r="J15" s="53" t="inlineStr">
        <is>
          <t>No fix to prescribe yet - conduct the manual test first to confirm actual status.</t>
        </is>
      </c>
    </row>
    <row r="16">
      <c r="A16" s="22" t="inlineStr">
        <is>
          <t>T12</t>
        </is>
      </c>
      <c r="B16" s="33" t="inlineStr">
        <is>
          <t>An accessible-format customer support channel (toll-free voice line, etc.) is discoverable for a user who cannot complete a transaction independently.</t>
        </is>
      </c>
      <c r="C16" s="46" t="inlineStr">
        <is>
          <t>GSMA MM Accessibility Guideline 4.5</t>
        </is>
      </c>
      <c r="D16" s="42" t="n">
        <v>2</v>
      </c>
      <c r="E16" s="54" t="inlineStr">
        <is>
          <t>Partial</t>
        </is>
      </c>
      <c r="F16" s="29">
        <f>IF(E16="Pass",1,IF(E16="Partial",0.5,IF(E16="Fail",0,0)))</f>
        <v/>
      </c>
      <c r="G16" s="45" t="inlineStr">
        <is>
          <t>'Contact' tab on the login screen (1) and 'Support' in the bottom nav (4), but neither was opened. The Support label is 1.82:1 contrast.</t>
        </is>
      </c>
      <c r="H16" s="29">
        <f>D16*F16</f>
        <v/>
      </c>
      <c r="I16" s="29">
        <f>IF(OR(E16="Pass",E16="Partial",E16="Fail"),1,0)</f>
        <v/>
      </c>
      <c r="J16" s="57" t="inlineStr">
        <is>
          <t>Raise the nav label contrast and verify the Support page's phone / chat options with TalkBack.</t>
        </is>
      </c>
    </row>
    <row r="18">
      <c r="A18" s="98" t="inlineStr">
        <is>
          <t>TRANSACTION ACCESSIBILITY SCORE</t>
        </is>
      </c>
      <c r="B18" s="92" t="n"/>
      <c r="C18" s="92" t="n"/>
      <c r="D18" s="93" t="n"/>
    </row>
    <row r="19">
      <c r="A19" s="94" t="inlineStr">
        <is>
          <t>Weighted score achieved (sum)</t>
        </is>
      </c>
      <c r="B19" s="92" t="n"/>
      <c r="C19" s="93" t="n"/>
      <c r="D19" s="29">
        <f>SUM(H5:H16)</f>
        <v/>
      </c>
      <c r="E19" s="93" t="n"/>
    </row>
    <row r="20">
      <c r="A20" s="94" t="inlineStr">
        <is>
          <t>Weighted score possible (tested only)</t>
        </is>
      </c>
      <c r="B20" s="92" t="n"/>
      <c r="C20" s="93" t="n"/>
      <c r="D20" s="29">
        <f>SUMPRODUCT(I5:I16*D5:D16)</f>
        <v/>
      </c>
      <c r="E20" s="93" t="n"/>
    </row>
    <row r="21" ht="15.75" customHeight="1" s="78">
      <c r="A21" s="99" t="inlineStr">
        <is>
          <t>TRANSACTION SCORE (0-100)</t>
        </is>
      </c>
      <c r="B21" s="92" t="n"/>
      <c r="C21" s="93" t="n"/>
      <c r="D21" s="96">
        <f>IFERROR(D19/D20*100,0)</f>
        <v/>
      </c>
      <c r="E21" s="93" t="n"/>
    </row>
    <row r="22" ht="15.75" customHeight="1" s="78">
      <c r="A22" s="94" t="inlineStr">
        <is>
          <t>Checks not yet tested (count)</t>
        </is>
      </c>
      <c r="B22" s="92" t="n"/>
      <c r="C22" s="93" t="n"/>
      <c r="D22" s="29">
        <f>COUNTIF(E5:E16,"Not Tested")</f>
        <v/>
      </c>
      <c r="E22" s="93" t="n"/>
    </row>
    <row r="23" ht="15.75" customHeight="1" s="78"/>
    <row r="24" ht="15.75" customHeight="1" s="78"/>
    <row r="25" ht="15.75" customHeight="1" s="78"/>
    <row r="26" ht="15.75" customHeight="1" s="78"/>
    <row r="27" ht="15.75" customHeight="1" s="78"/>
    <row r="28" ht="15.75" customHeight="1" s="78"/>
    <row r="29" ht="15.75" customHeight="1" s="78"/>
    <row r="30" ht="15.75" customHeight="1" s="78"/>
    <row r="31" ht="15.75" customHeight="1" s="78"/>
    <row r="32" ht="15.75" customHeight="1" s="78"/>
    <row r="33" ht="15.75" customHeight="1" s="78"/>
    <row r="34" ht="15.75" customHeight="1" s="78"/>
    <row r="35" ht="15.75" customHeight="1" s="78"/>
    <row r="36" ht="15.75" customHeight="1" s="78"/>
    <row r="37" ht="15.75" customHeight="1" s="78"/>
    <row r="38" ht="15.75" customHeight="1" s="78"/>
    <row r="39" ht="15.75" customHeight="1" s="78"/>
    <row r="40" ht="15.75" customHeight="1" s="78"/>
    <row r="41" ht="15.75" customHeight="1" s="78"/>
    <row r="42" ht="15.75" customHeight="1" s="78"/>
    <row r="43" ht="15.75" customHeight="1" s="78"/>
    <row r="44" ht="15.75" customHeight="1" s="78"/>
    <row r="45" ht="15.75" customHeight="1" s="78"/>
    <row r="46" ht="15.75" customHeight="1" s="78"/>
    <row r="47" ht="15.75" customHeight="1" s="78"/>
    <row r="48" ht="15.75" customHeight="1" s="78"/>
    <row r="49" ht="15.75" customHeight="1" s="78"/>
    <row r="50" ht="15.75" customHeight="1" s="78"/>
    <row r="51" ht="15.75" customHeight="1" s="78"/>
    <row r="52" ht="15.75" customHeight="1" s="78"/>
    <row r="53" ht="15.75" customHeight="1" s="78"/>
    <row r="54" ht="15.75" customHeight="1" s="78"/>
    <row r="55" ht="15.75" customHeight="1" s="78"/>
    <row r="56" ht="15.75" customHeight="1" s="78"/>
    <row r="57" ht="15.75" customHeight="1" s="78"/>
    <row r="58" ht="15.75" customHeight="1" s="78"/>
    <row r="59" ht="15.75" customHeight="1" s="78"/>
    <row r="60" ht="15.75" customHeight="1" s="78"/>
    <row r="61" ht="15.75" customHeight="1" s="78"/>
    <row r="62" ht="15.75" customHeight="1" s="78"/>
    <row r="63" ht="15.75" customHeight="1" s="78"/>
    <row r="64" ht="15.75" customHeight="1" s="78"/>
    <row r="65" ht="15.75" customHeight="1" s="78"/>
    <row r="66" ht="15.75" customHeight="1" s="78"/>
    <row r="67" ht="15.75" customHeight="1" s="78"/>
    <row r="68" ht="15.75" customHeight="1" s="78"/>
    <row r="69" ht="15.75" customHeight="1" s="78"/>
    <row r="70" ht="15.75" customHeight="1" s="78"/>
    <row r="71" ht="15.75" customHeight="1" s="78"/>
    <row r="72" ht="15.75" customHeight="1" s="78"/>
    <row r="73" ht="15.75" customHeight="1" s="78"/>
    <row r="74" ht="15.75" customHeight="1" s="78"/>
    <row r="75" ht="15.75" customHeight="1" s="78"/>
    <row r="76" ht="15.75" customHeight="1" s="78"/>
    <row r="77" ht="15.75" customHeight="1" s="78"/>
    <row r="78" ht="15.75" customHeight="1" s="78"/>
    <row r="79" ht="15.75" customHeight="1" s="78"/>
    <row r="80" ht="15.75" customHeight="1" s="78"/>
    <row r="81" ht="15.75" customHeight="1" s="78"/>
    <row r="82" ht="15.75" customHeight="1" s="78"/>
    <row r="83" ht="15.75" customHeight="1" s="78"/>
    <row r="84" ht="15.75" customHeight="1" s="78"/>
    <row r="85" ht="15.75" customHeight="1" s="78"/>
    <row r="86" ht="15.75" customHeight="1" s="78"/>
    <row r="87" ht="15.75" customHeight="1" s="78"/>
    <row r="88" ht="15.75" customHeight="1" s="78"/>
    <row r="89" ht="15.75" customHeight="1" s="78"/>
    <row r="90" ht="15.75" customHeight="1" s="78"/>
    <row r="91" ht="15.75" customHeight="1" s="78"/>
    <row r="92" ht="15.75" customHeight="1" s="78"/>
    <row r="93" ht="15.75" customHeight="1" s="78"/>
    <row r="94" ht="15.75" customHeight="1" s="78"/>
    <row r="95" ht="15.75" customHeight="1" s="78"/>
    <row r="96" ht="15.75" customHeight="1" s="78"/>
    <row r="97" ht="15.75" customHeight="1" s="78"/>
    <row r="98" ht="15.75" customHeight="1" s="78"/>
    <row r="99" ht="15.75" customHeight="1" s="78"/>
    <row r="100" ht="15.75" customHeight="1" s="78"/>
    <row r="101" ht="15.75" customHeight="1" s="78"/>
    <row r="102" ht="15.75" customHeight="1" s="78"/>
    <row r="103" ht="15.75" customHeight="1" s="78"/>
    <row r="104" ht="15.75" customHeight="1" s="78"/>
    <row r="105" ht="15.75" customHeight="1" s="78"/>
    <row r="106" ht="15.75" customHeight="1" s="78"/>
    <row r="107" ht="15.75" customHeight="1" s="78"/>
    <row r="108" ht="15.75" customHeight="1" s="78"/>
    <row r="109" ht="15.75" customHeight="1" s="78"/>
    <row r="110" ht="15.75" customHeight="1" s="78"/>
    <row r="111" ht="15.75" customHeight="1" s="78"/>
    <row r="112" ht="15.75" customHeight="1" s="78"/>
    <row r="113" ht="15.75" customHeight="1" s="78"/>
    <row r="114" ht="15.75" customHeight="1" s="78"/>
    <row r="115" ht="15.75" customHeight="1" s="78"/>
    <row r="116" ht="15.75" customHeight="1" s="78"/>
    <row r="117" ht="15.75" customHeight="1" s="78"/>
    <row r="118" ht="15.75" customHeight="1" s="78"/>
    <row r="119" ht="15.75" customHeight="1" s="78"/>
    <row r="120" ht="15.75" customHeight="1" s="78"/>
    <row r="121" ht="15.75" customHeight="1" s="78"/>
    <row r="122" ht="15.75" customHeight="1" s="78"/>
    <row r="123" ht="15.75" customHeight="1" s="78"/>
    <row r="124" ht="15.75" customHeight="1" s="78"/>
    <row r="125" ht="15.75" customHeight="1" s="78"/>
    <row r="126" ht="15.75" customHeight="1" s="78"/>
    <row r="127" ht="15.75" customHeight="1" s="78"/>
    <row r="128" ht="15.75" customHeight="1" s="78"/>
    <row r="129" ht="15.75" customHeight="1" s="78"/>
    <row r="130" ht="15.75" customHeight="1" s="78"/>
    <row r="131" ht="15.75" customHeight="1" s="78"/>
    <row r="132" ht="15.75" customHeight="1" s="78"/>
    <row r="133" ht="15.75" customHeight="1" s="78"/>
    <row r="134" ht="15.75" customHeight="1" s="78"/>
    <row r="135" ht="15.75" customHeight="1" s="78"/>
    <row r="136" ht="15.75" customHeight="1" s="78"/>
    <row r="137" ht="15.75" customHeight="1" s="78"/>
    <row r="138" ht="15.75" customHeight="1" s="78"/>
    <row r="139" ht="15.75" customHeight="1" s="78"/>
    <row r="140" ht="15.75" customHeight="1" s="78"/>
    <row r="141" ht="15.75" customHeight="1" s="78"/>
    <row r="142" ht="15.75" customHeight="1" s="78"/>
    <row r="143" ht="15.75" customHeight="1" s="78"/>
    <row r="144" ht="15.75" customHeight="1" s="78"/>
    <row r="145" ht="15.75" customHeight="1" s="78"/>
    <row r="146" ht="15.75" customHeight="1" s="78"/>
    <row r="147" ht="15.75" customHeight="1" s="78"/>
    <row r="148" ht="15.75" customHeight="1" s="78"/>
    <row r="149" ht="15.75" customHeight="1" s="78"/>
    <row r="150" ht="15.75" customHeight="1" s="78"/>
    <row r="151" ht="15.75" customHeight="1" s="78"/>
    <row r="152" ht="15.75" customHeight="1" s="78"/>
    <row r="153" ht="15.75" customHeight="1" s="78"/>
    <row r="154" ht="15.75" customHeight="1" s="78"/>
    <row r="155" ht="15.75" customHeight="1" s="78"/>
    <row r="156" ht="15.75" customHeight="1" s="78"/>
    <row r="157" ht="15.75" customHeight="1" s="78"/>
    <row r="158" ht="15.75" customHeight="1" s="78"/>
    <row r="159" ht="15.75" customHeight="1" s="78"/>
    <row r="160" ht="15.75" customHeight="1" s="78"/>
    <row r="161" ht="15.75" customHeight="1" s="78"/>
    <row r="162" ht="15.75" customHeight="1" s="78"/>
    <row r="163" ht="15.75" customHeight="1" s="78"/>
    <row r="164" ht="15.75" customHeight="1" s="78"/>
    <row r="165" ht="15.75" customHeight="1" s="78"/>
    <row r="166" ht="15.75" customHeight="1" s="78"/>
    <row r="167" ht="15.75" customHeight="1" s="78"/>
    <row r="168" ht="15.75" customHeight="1" s="78"/>
    <row r="169" ht="15.75" customHeight="1" s="78"/>
    <row r="170" ht="15.75" customHeight="1" s="78"/>
    <row r="171" ht="15.75" customHeight="1" s="78"/>
    <row r="172" ht="15.75" customHeight="1" s="78"/>
    <row r="173" ht="15.75" customHeight="1" s="78"/>
    <row r="174" ht="15.75" customHeight="1" s="78"/>
    <row r="175" ht="15.75" customHeight="1" s="78"/>
    <row r="176" ht="15.75" customHeight="1" s="78"/>
    <row r="177" ht="15.75" customHeight="1" s="78"/>
    <row r="178" ht="15.75" customHeight="1" s="78"/>
    <row r="179" ht="15.75" customHeight="1" s="78"/>
    <row r="180" ht="15.75" customHeight="1" s="78"/>
    <row r="181" ht="15.75" customHeight="1" s="78"/>
    <row r="182" ht="15.75" customHeight="1" s="78"/>
    <row r="183" ht="15.75" customHeight="1" s="78"/>
    <row r="184" ht="15.75" customHeight="1" s="78"/>
    <row r="185" ht="15.75" customHeight="1" s="78"/>
    <row r="186" ht="15.75" customHeight="1" s="78"/>
    <row r="187" ht="15.75" customHeight="1" s="78"/>
    <row r="188" ht="15.75" customHeight="1" s="78"/>
    <row r="189" ht="15.75" customHeight="1" s="78"/>
    <row r="190" ht="15.75" customHeight="1" s="78"/>
    <row r="191" ht="15.75" customHeight="1" s="78"/>
    <row r="192" ht="15.75" customHeight="1" s="78"/>
    <row r="193" ht="15.75" customHeight="1" s="78"/>
    <row r="194" ht="15.75" customHeight="1" s="78"/>
    <row r="195" ht="15.75" customHeight="1" s="78"/>
    <row r="196" ht="15.75" customHeight="1" s="78"/>
    <row r="197" ht="15.75" customHeight="1" s="78"/>
    <row r="198" ht="15.75" customHeight="1" s="78"/>
    <row r="199" ht="15.75" customHeight="1" s="78"/>
    <row r="200" ht="15.75" customHeight="1" s="78"/>
    <row r="201" ht="15.75" customHeight="1" s="78"/>
    <row r="202" ht="15.75" customHeight="1" s="78"/>
    <row r="203" ht="15.75" customHeight="1" s="78"/>
    <row r="204" ht="15.75" customHeight="1" s="78"/>
    <row r="205" ht="15.75" customHeight="1" s="78"/>
    <row r="206" ht="15.75" customHeight="1" s="78"/>
    <row r="207" ht="15.75" customHeight="1" s="78"/>
    <row r="208" ht="15.75" customHeight="1" s="78"/>
    <row r="209" ht="15.75" customHeight="1" s="78"/>
    <row r="210" ht="15.75" customHeight="1" s="78"/>
    <row r="211" ht="15.75" customHeight="1" s="78"/>
    <row r="212" ht="15.75" customHeight="1" s="78"/>
    <row r="213" ht="15.75" customHeight="1" s="78"/>
    <row r="214" ht="15.75" customHeight="1" s="78"/>
    <row r="215" ht="15.75" customHeight="1" s="78"/>
    <row r="216" ht="15.75" customHeight="1" s="78"/>
    <row r="217" ht="15.75" customHeight="1" s="78"/>
    <row r="218" ht="15.75" customHeight="1" s="78"/>
    <row r="219" ht="15.75" customHeight="1" s="78"/>
    <row r="220" ht="15.75" customHeight="1" s="78"/>
    <row r="221" ht="15.75" customHeight="1" s="78"/>
    <row r="222" ht="15.75" customHeight="1" s="78"/>
    <row r="223" ht="15.75" customHeight="1" s="78"/>
    <row r="224" ht="15.75" customHeight="1" s="78"/>
    <row r="225" ht="15.75" customHeight="1" s="78"/>
    <row r="226" ht="15.75" customHeight="1" s="78"/>
    <row r="227" ht="15.75" customHeight="1" s="78"/>
    <row r="228" ht="15.75" customHeight="1" s="78"/>
    <row r="229" ht="15.75" customHeight="1" s="78"/>
    <row r="230" ht="15.75" customHeight="1" s="78"/>
    <row r="231" ht="15.75" customHeight="1" s="78"/>
    <row r="232" ht="15.75" customHeight="1" s="78"/>
    <row r="233" ht="15.75" customHeight="1" s="78"/>
    <row r="234" ht="15.75" customHeight="1" s="78"/>
    <row r="235" ht="15.75" customHeight="1" s="78"/>
    <row r="236" ht="15.75" customHeight="1" s="78"/>
    <row r="237" ht="15.75" customHeight="1" s="78"/>
    <row r="238" ht="15.75" customHeight="1" s="78"/>
    <row r="239" ht="15.75" customHeight="1" s="78"/>
    <row r="240" ht="15.75" customHeight="1" s="78"/>
    <row r="241" ht="15.75" customHeight="1" s="78"/>
    <row r="242" ht="15.75" customHeight="1" s="78"/>
    <row r="243" ht="15.75" customHeight="1" s="78"/>
    <row r="244" ht="15.75" customHeight="1" s="78"/>
    <row r="245" ht="15.75" customHeight="1" s="78"/>
    <row r="246" ht="15.75" customHeight="1" s="78"/>
    <row r="247" ht="15.75" customHeight="1" s="78"/>
    <row r="248" ht="15.75" customHeight="1" s="78"/>
    <row r="249" ht="15.75" customHeight="1" s="78"/>
    <row r="250" ht="15.75" customHeight="1" s="78"/>
    <row r="251" ht="15.75" customHeight="1" s="78"/>
    <row r="252" ht="15.75" customHeight="1" s="78"/>
    <row r="253" ht="15.75" customHeight="1" s="78"/>
    <row r="254" ht="15.75" customHeight="1" s="78"/>
    <row r="255" ht="15.75" customHeight="1" s="78"/>
    <row r="256" ht="15.75" customHeight="1" s="78"/>
    <row r="257" ht="15.75" customHeight="1" s="78"/>
    <row r="258" ht="15.75" customHeight="1" s="78"/>
    <row r="259" ht="15.75" customHeight="1" s="78"/>
    <row r="260" ht="15.75" customHeight="1" s="78"/>
    <row r="261" ht="15.75" customHeight="1" s="78"/>
    <row r="262" ht="15.75" customHeight="1" s="78"/>
    <row r="263" ht="15.75" customHeight="1" s="78"/>
    <row r="264" ht="15.75" customHeight="1" s="78"/>
    <row r="265" ht="15.75" customHeight="1" s="78"/>
    <row r="266" ht="15.75" customHeight="1" s="78"/>
    <row r="267" ht="15.75" customHeight="1" s="78"/>
    <row r="268" ht="15.75" customHeight="1" s="78"/>
    <row r="269" ht="15.75" customHeight="1" s="78"/>
    <row r="270" ht="15.75" customHeight="1" s="78"/>
    <row r="271" ht="15.75" customHeight="1" s="78"/>
    <row r="272" ht="15.75" customHeight="1" s="78"/>
    <row r="273" ht="15.75" customHeight="1" s="78"/>
    <row r="274" ht="15.75" customHeight="1" s="78"/>
    <row r="275" ht="15.75" customHeight="1" s="78"/>
    <row r="276" ht="15.75" customHeight="1" s="78"/>
    <row r="277" ht="15.75" customHeight="1" s="78"/>
    <row r="278" ht="15.75" customHeight="1" s="78"/>
    <row r="279" ht="15.75" customHeight="1" s="78"/>
    <row r="280" ht="15.75" customHeight="1" s="78"/>
    <row r="281" ht="15.75" customHeight="1" s="78"/>
    <row r="282" ht="15.75" customHeight="1" s="78"/>
    <row r="283" ht="15.75" customHeight="1" s="78"/>
    <row r="284" ht="15.75" customHeight="1" s="78"/>
    <row r="285" ht="15.75" customHeight="1" s="78"/>
    <row r="286" ht="15.75" customHeight="1" s="78"/>
    <row r="287" ht="15.75" customHeight="1" s="78"/>
    <row r="288" ht="15.75" customHeight="1" s="78"/>
    <row r="289" ht="15.75" customHeight="1" s="78"/>
    <row r="290" ht="15.75" customHeight="1" s="78"/>
    <row r="291" ht="15.75" customHeight="1" s="78"/>
    <row r="292" ht="15.75" customHeight="1" s="78"/>
    <row r="293" ht="15.75" customHeight="1" s="78"/>
    <row r="294" ht="15.75" customHeight="1" s="78"/>
    <row r="295" ht="15.75" customHeight="1" s="78"/>
    <row r="296" ht="15.75" customHeight="1" s="78"/>
    <row r="297" ht="15.75" customHeight="1" s="78"/>
    <row r="298" ht="15.75" customHeight="1" s="78"/>
    <row r="299" ht="15.75" customHeight="1" s="78"/>
    <row r="300" ht="15.75" customHeight="1" s="78"/>
    <row r="301" ht="15.75" customHeight="1" s="78"/>
    <row r="302" ht="15.75" customHeight="1" s="78"/>
    <row r="303" ht="15.75" customHeight="1" s="78"/>
    <row r="304" ht="15.75" customHeight="1" s="78"/>
    <row r="305" ht="15.75" customHeight="1" s="78"/>
    <row r="306" ht="15.75" customHeight="1" s="78"/>
    <row r="307" ht="15.75" customHeight="1" s="78"/>
    <row r="308" ht="15.75" customHeight="1" s="78"/>
    <row r="309" ht="15.75" customHeight="1" s="78"/>
    <row r="310" ht="15.75" customHeight="1" s="78"/>
    <row r="311" ht="15.75" customHeight="1" s="78"/>
    <row r="312" ht="15.75" customHeight="1" s="78"/>
    <row r="313" ht="15.75" customHeight="1" s="78"/>
    <row r="314" ht="15.75" customHeight="1" s="78"/>
    <row r="315" ht="15.75" customHeight="1" s="78"/>
    <row r="316" ht="15.75" customHeight="1" s="78"/>
    <row r="317" ht="15.75" customHeight="1" s="78"/>
    <row r="318" ht="15.75" customHeight="1" s="78"/>
    <row r="319" ht="15.75" customHeight="1" s="78"/>
    <row r="320" ht="15.75" customHeight="1" s="78"/>
    <row r="321" ht="15.75" customHeight="1" s="78"/>
    <row r="322" ht="15.75" customHeight="1" s="78"/>
    <row r="323" ht="15.75" customHeight="1" s="78"/>
    <row r="324" ht="15.75" customHeight="1" s="78"/>
    <row r="325" ht="15.75" customHeight="1" s="78"/>
    <row r="326" ht="15.75" customHeight="1" s="78"/>
    <row r="327" ht="15.75" customHeight="1" s="78"/>
    <row r="328" ht="15.75" customHeight="1" s="78"/>
    <row r="329" ht="15.75" customHeight="1" s="78"/>
    <row r="330" ht="15.75" customHeight="1" s="78"/>
    <row r="331" ht="15.75" customHeight="1" s="78"/>
    <row r="332" ht="15.75" customHeight="1" s="78"/>
    <row r="333" ht="15.75" customHeight="1" s="78"/>
    <row r="334" ht="15.75" customHeight="1" s="78"/>
    <row r="335" ht="15.75" customHeight="1" s="78"/>
    <row r="336" ht="15.75" customHeight="1" s="78"/>
    <row r="337" ht="15.75" customHeight="1" s="78"/>
    <row r="338" ht="15.75" customHeight="1" s="78"/>
    <row r="339" ht="15.75" customHeight="1" s="78"/>
    <row r="340" ht="15.75" customHeight="1" s="78"/>
    <row r="341" ht="15.75" customHeight="1" s="78"/>
    <row r="342" ht="15.75" customHeight="1" s="78"/>
    <row r="343" ht="15.75" customHeight="1" s="78"/>
    <row r="344" ht="15.75" customHeight="1" s="78"/>
    <row r="345" ht="15.75" customHeight="1" s="78"/>
    <row r="346" ht="15.75" customHeight="1" s="78"/>
    <row r="347" ht="15.75" customHeight="1" s="78"/>
    <row r="348" ht="15.75" customHeight="1" s="78"/>
    <row r="349" ht="15.75" customHeight="1" s="78"/>
    <row r="350" ht="15.75" customHeight="1" s="78"/>
    <row r="351" ht="15.75" customHeight="1" s="78"/>
    <row r="352" ht="15.75" customHeight="1" s="78"/>
    <row r="353" ht="15.75" customHeight="1" s="78"/>
    <row r="354" ht="15.75" customHeight="1" s="78"/>
    <row r="355" ht="15.75" customHeight="1" s="78"/>
    <row r="356" ht="15.75" customHeight="1" s="78"/>
    <row r="357" ht="15.75" customHeight="1" s="78"/>
    <row r="358" ht="15.75" customHeight="1" s="78"/>
    <row r="359" ht="15.75" customHeight="1" s="78"/>
    <row r="360" ht="15.75" customHeight="1" s="78"/>
    <row r="361" ht="15.75" customHeight="1" s="78"/>
    <row r="362" ht="15.75" customHeight="1" s="78"/>
    <row r="363" ht="15.75" customHeight="1" s="78"/>
    <row r="364" ht="15.75" customHeight="1" s="78"/>
    <row r="365" ht="15.75" customHeight="1" s="78"/>
    <row r="366" ht="15.75" customHeight="1" s="78"/>
    <row r="367" ht="15.75" customHeight="1" s="78"/>
    <row r="368" ht="15.75" customHeight="1" s="78"/>
    <row r="369" ht="15.75" customHeight="1" s="78"/>
    <row r="370" ht="15.75" customHeight="1" s="78"/>
    <row r="371" ht="15.75" customHeight="1" s="78"/>
    <row r="372" ht="15.75" customHeight="1" s="78"/>
    <row r="373" ht="15.75" customHeight="1" s="78"/>
    <row r="374" ht="15.75" customHeight="1" s="78"/>
    <row r="375" ht="15.75" customHeight="1" s="78"/>
    <row r="376" ht="15.75" customHeight="1" s="78"/>
    <row r="377" ht="15.75" customHeight="1" s="78"/>
    <row r="378" ht="15.75" customHeight="1" s="78"/>
    <row r="379" ht="15.75" customHeight="1" s="78"/>
    <row r="380" ht="15.75" customHeight="1" s="78"/>
    <row r="381" ht="15.75" customHeight="1" s="78"/>
    <row r="382" ht="15.75" customHeight="1" s="78"/>
    <row r="383" ht="15.75" customHeight="1" s="78"/>
    <row r="384" ht="15.75" customHeight="1" s="78"/>
    <row r="385" ht="15.75" customHeight="1" s="78"/>
    <row r="386" ht="15.75" customHeight="1" s="78"/>
    <row r="387" ht="15.75" customHeight="1" s="78"/>
    <row r="388" ht="15.75" customHeight="1" s="78"/>
    <row r="389" ht="15.75" customHeight="1" s="78"/>
    <row r="390" ht="15.75" customHeight="1" s="78"/>
    <row r="391" ht="15.75" customHeight="1" s="78"/>
    <row r="392" ht="15.75" customHeight="1" s="78"/>
    <row r="393" ht="15.75" customHeight="1" s="78"/>
    <row r="394" ht="15.75" customHeight="1" s="78"/>
    <row r="395" ht="15.75" customHeight="1" s="78"/>
    <row r="396" ht="15.75" customHeight="1" s="78"/>
    <row r="397" ht="15.75" customHeight="1" s="78"/>
    <row r="398" ht="15.75" customHeight="1" s="78"/>
    <row r="399" ht="15.75" customHeight="1" s="78"/>
    <row r="400" ht="15.75" customHeight="1" s="78"/>
    <row r="401" ht="15.75" customHeight="1" s="78"/>
    <row r="402" ht="15.75" customHeight="1" s="78"/>
    <row r="403" ht="15.75" customHeight="1" s="78"/>
    <row r="404" ht="15.75" customHeight="1" s="78"/>
    <row r="405" ht="15.75" customHeight="1" s="78"/>
    <row r="406" ht="15.75" customHeight="1" s="78"/>
    <row r="407" ht="15.75" customHeight="1" s="78"/>
    <row r="408" ht="15.75" customHeight="1" s="78"/>
    <row r="409" ht="15.75" customHeight="1" s="78"/>
    <row r="410" ht="15.75" customHeight="1" s="78"/>
    <row r="411" ht="15.75" customHeight="1" s="78"/>
    <row r="412" ht="15.75" customHeight="1" s="78"/>
    <row r="413" ht="15.75" customHeight="1" s="78"/>
    <row r="414" ht="15.75" customHeight="1" s="78"/>
    <row r="415" ht="15.75" customHeight="1" s="78"/>
    <row r="416" ht="15.75" customHeight="1" s="78"/>
    <row r="417" ht="15.75" customHeight="1" s="78"/>
    <row r="418" ht="15.75" customHeight="1" s="78"/>
    <row r="419" ht="15.75" customHeight="1" s="78"/>
    <row r="420" ht="15.75" customHeight="1" s="78"/>
    <row r="421" ht="15.75" customHeight="1" s="78"/>
    <row r="422" ht="15.75" customHeight="1" s="78"/>
    <row r="423" ht="15.75" customHeight="1" s="78"/>
    <row r="424" ht="15.75" customHeight="1" s="78"/>
    <row r="425" ht="15.75" customHeight="1" s="78"/>
    <row r="426" ht="15.75" customHeight="1" s="78"/>
    <row r="427" ht="15.75" customHeight="1" s="78"/>
    <row r="428" ht="15.75" customHeight="1" s="78"/>
    <row r="429" ht="15.75" customHeight="1" s="78"/>
    <row r="430" ht="15.75" customHeight="1" s="78"/>
    <row r="431" ht="15.75" customHeight="1" s="78"/>
    <row r="432" ht="15.75" customHeight="1" s="78"/>
    <row r="433" ht="15.75" customHeight="1" s="78"/>
    <row r="434" ht="15.75" customHeight="1" s="78"/>
    <row r="435" ht="15.75" customHeight="1" s="78"/>
    <row r="436" ht="15.75" customHeight="1" s="78"/>
    <row r="437" ht="15.75" customHeight="1" s="78"/>
    <row r="438" ht="15.75" customHeight="1" s="78"/>
    <row r="439" ht="15.75" customHeight="1" s="78"/>
    <row r="440" ht="15.75" customHeight="1" s="78"/>
    <row r="441" ht="15.75" customHeight="1" s="78"/>
    <row r="442" ht="15.75" customHeight="1" s="78"/>
    <row r="443" ht="15.75" customHeight="1" s="78"/>
    <row r="444" ht="15.75" customHeight="1" s="78"/>
    <row r="445" ht="15.75" customHeight="1" s="78"/>
    <row r="446" ht="15.75" customHeight="1" s="78"/>
    <row r="447" ht="15.75" customHeight="1" s="78"/>
    <row r="448" ht="15.75" customHeight="1" s="78"/>
    <row r="449" ht="15.75" customHeight="1" s="78"/>
    <row r="450" ht="15.75" customHeight="1" s="78"/>
    <row r="451" ht="15.75" customHeight="1" s="78"/>
    <row r="452" ht="15.75" customHeight="1" s="78"/>
    <row r="453" ht="15.75" customHeight="1" s="78"/>
    <row r="454" ht="15.75" customHeight="1" s="78"/>
    <row r="455" ht="15.75" customHeight="1" s="78"/>
    <row r="456" ht="15.75" customHeight="1" s="78"/>
    <row r="457" ht="15.75" customHeight="1" s="78"/>
    <row r="458" ht="15.75" customHeight="1" s="78"/>
    <row r="459" ht="15.75" customHeight="1" s="78"/>
    <row r="460" ht="15.75" customHeight="1" s="78"/>
    <row r="461" ht="15.75" customHeight="1" s="78"/>
    <row r="462" ht="15.75" customHeight="1" s="78"/>
    <row r="463" ht="15.75" customHeight="1" s="78"/>
    <row r="464" ht="15.75" customHeight="1" s="78"/>
    <row r="465" ht="15.75" customHeight="1" s="78"/>
    <row r="466" ht="15.75" customHeight="1" s="78"/>
    <row r="467" ht="15.75" customHeight="1" s="78"/>
    <row r="468" ht="15.75" customHeight="1" s="78"/>
    <row r="469" ht="15.75" customHeight="1" s="78"/>
    <row r="470" ht="15.75" customHeight="1" s="78"/>
    <row r="471" ht="15.75" customHeight="1" s="78"/>
    <row r="472" ht="15.75" customHeight="1" s="78"/>
    <row r="473" ht="15.75" customHeight="1" s="78"/>
    <row r="474" ht="15.75" customHeight="1" s="78"/>
    <row r="475" ht="15.75" customHeight="1" s="78"/>
    <row r="476" ht="15.75" customHeight="1" s="78"/>
    <row r="477" ht="15.75" customHeight="1" s="78"/>
    <row r="478" ht="15.75" customHeight="1" s="78"/>
    <row r="479" ht="15.75" customHeight="1" s="78"/>
    <row r="480" ht="15.75" customHeight="1" s="78"/>
    <row r="481" ht="15.75" customHeight="1" s="78"/>
    <row r="482" ht="15.75" customHeight="1" s="78"/>
    <row r="483" ht="15.75" customHeight="1" s="78"/>
    <row r="484" ht="15.75" customHeight="1" s="78"/>
    <row r="485" ht="15.75" customHeight="1" s="78"/>
    <row r="486" ht="15.75" customHeight="1" s="78"/>
    <row r="487" ht="15.75" customHeight="1" s="78"/>
    <row r="488" ht="15.75" customHeight="1" s="78"/>
    <row r="489" ht="15.75" customHeight="1" s="78"/>
    <row r="490" ht="15.75" customHeight="1" s="78"/>
    <row r="491" ht="15.75" customHeight="1" s="78"/>
    <row r="492" ht="15.75" customHeight="1" s="78"/>
    <row r="493" ht="15.75" customHeight="1" s="78"/>
    <row r="494" ht="15.75" customHeight="1" s="78"/>
    <row r="495" ht="15.75" customHeight="1" s="78"/>
    <row r="496" ht="15.75" customHeight="1" s="78"/>
    <row r="497" ht="15.75" customHeight="1" s="78"/>
    <row r="498" ht="15.75" customHeight="1" s="78"/>
    <row r="499" ht="15.75" customHeight="1" s="78"/>
    <row r="500" ht="15.75" customHeight="1" s="78"/>
    <row r="501" ht="15.75" customHeight="1" s="78"/>
    <row r="502" ht="15.75" customHeight="1" s="78"/>
    <row r="503" ht="15.75" customHeight="1" s="78"/>
    <row r="504" ht="15.75" customHeight="1" s="78"/>
    <row r="505" ht="15.75" customHeight="1" s="78"/>
    <row r="506" ht="15.75" customHeight="1" s="78"/>
    <row r="507" ht="15.75" customHeight="1" s="78"/>
    <row r="508" ht="15.75" customHeight="1" s="78"/>
    <row r="509" ht="15.75" customHeight="1" s="78"/>
    <row r="510" ht="15.75" customHeight="1" s="78"/>
    <row r="511" ht="15.75" customHeight="1" s="78"/>
    <row r="512" ht="15.75" customHeight="1" s="78"/>
    <row r="513" ht="15.75" customHeight="1" s="78"/>
    <row r="514" ht="15.75" customHeight="1" s="78"/>
    <row r="515" ht="15.75" customHeight="1" s="78"/>
    <row r="516" ht="15.75" customHeight="1" s="78"/>
    <row r="517" ht="15.75" customHeight="1" s="78"/>
    <row r="518" ht="15.75" customHeight="1" s="78"/>
    <row r="519" ht="15.75" customHeight="1" s="78"/>
    <row r="520" ht="15.75" customHeight="1" s="78"/>
    <row r="521" ht="15.75" customHeight="1" s="78"/>
    <row r="522" ht="15.75" customHeight="1" s="78"/>
    <row r="523" ht="15.75" customHeight="1" s="78"/>
    <row r="524" ht="15.75" customHeight="1" s="78"/>
    <row r="525" ht="15.75" customHeight="1" s="78"/>
    <row r="526" ht="15.75" customHeight="1" s="78"/>
    <row r="527" ht="15.75" customHeight="1" s="78"/>
    <row r="528" ht="15.75" customHeight="1" s="78"/>
    <row r="529" ht="15.75" customHeight="1" s="78"/>
    <row r="530" ht="15.75" customHeight="1" s="78"/>
    <row r="531" ht="15.75" customHeight="1" s="78"/>
    <row r="532" ht="15.75" customHeight="1" s="78"/>
    <row r="533" ht="15.75" customHeight="1" s="78"/>
    <row r="534" ht="15.75" customHeight="1" s="78"/>
    <row r="535" ht="15.75" customHeight="1" s="78"/>
    <row r="536" ht="15.75" customHeight="1" s="78"/>
    <row r="537" ht="15.75" customHeight="1" s="78"/>
    <row r="538" ht="15.75" customHeight="1" s="78"/>
    <row r="539" ht="15.75" customHeight="1" s="78"/>
    <row r="540" ht="15.75" customHeight="1" s="78"/>
    <row r="541" ht="15.75" customHeight="1" s="78"/>
    <row r="542" ht="15.75" customHeight="1" s="78"/>
    <row r="543" ht="15.75" customHeight="1" s="78"/>
    <row r="544" ht="15.75" customHeight="1" s="78"/>
    <row r="545" ht="15.75" customHeight="1" s="78"/>
    <row r="546" ht="15.75" customHeight="1" s="78"/>
    <row r="547" ht="15.75" customHeight="1" s="78"/>
    <row r="548" ht="15.75" customHeight="1" s="78"/>
    <row r="549" ht="15.75" customHeight="1" s="78"/>
    <row r="550" ht="15.75" customHeight="1" s="78"/>
    <row r="551" ht="15.75" customHeight="1" s="78"/>
    <row r="552" ht="15.75" customHeight="1" s="78"/>
    <row r="553" ht="15.75" customHeight="1" s="78"/>
    <row r="554" ht="15.75" customHeight="1" s="78"/>
    <row r="555" ht="15.75" customHeight="1" s="78"/>
    <row r="556" ht="15.75" customHeight="1" s="78"/>
    <row r="557" ht="15.75" customHeight="1" s="78"/>
    <row r="558" ht="15.75" customHeight="1" s="78"/>
    <row r="559" ht="15.75" customHeight="1" s="78"/>
    <row r="560" ht="15.75" customHeight="1" s="78"/>
    <row r="561" ht="15.75" customHeight="1" s="78"/>
    <row r="562" ht="15.75" customHeight="1" s="78"/>
    <row r="563" ht="15.75" customHeight="1" s="78"/>
    <row r="564" ht="15.75" customHeight="1" s="78"/>
    <row r="565" ht="15.75" customHeight="1" s="78"/>
    <row r="566" ht="15.75" customHeight="1" s="78"/>
    <row r="567" ht="15.75" customHeight="1" s="78"/>
    <row r="568" ht="15.75" customHeight="1" s="78"/>
    <row r="569" ht="15.75" customHeight="1" s="78"/>
    <row r="570" ht="15.75" customHeight="1" s="78"/>
    <row r="571" ht="15.75" customHeight="1" s="78"/>
    <row r="572" ht="15.75" customHeight="1" s="78"/>
    <row r="573" ht="15.75" customHeight="1" s="78"/>
    <row r="574" ht="15.75" customHeight="1" s="78"/>
    <row r="575" ht="15.75" customHeight="1" s="78"/>
    <row r="576" ht="15.75" customHeight="1" s="78"/>
    <row r="577" ht="15.75" customHeight="1" s="78"/>
    <row r="578" ht="15.75" customHeight="1" s="78"/>
    <row r="579" ht="15.75" customHeight="1" s="78"/>
    <row r="580" ht="15.75" customHeight="1" s="78"/>
    <row r="581" ht="15.75" customHeight="1" s="78"/>
    <row r="582" ht="15.75" customHeight="1" s="78"/>
    <row r="583" ht="15.75" customHeight="1" s="78"/>
    <row r="584" ht="15.75" customHeight="1" s="78"/>
    <row r="585" ht="15.75" customHeight="1" s="78"/>
    <row r="586" ht="15.75" customHeight="1" s="78"/>
    <row r="587" ht="15.75" customHeight="1" s="78"/>
    <row r="588" ht="15.75" customHeight="1" s="78"/>
    <row r="589" ht="15.75" customHeight="1" s="78"/>
    <row r="590" ht="15.75" customHeight="1" s="78"/>
    <row r="591" ht="15.75" customHeight="1" s="78"/>
    <row r="592" ht="15.75" customHeight="1" s="78"/>
    <row r="593" ht="15.75" customHeight="1" s="78"/>
    <row r="594" ht="15.75" customHeight="1" s="78"/>
    <row r="595" ht="15.75" customHeight="1" s="78"/>
    <row r="596" ht="15.75" customHeight="1" s="78"/>
    <row r="597" ht="15.75" customHeight="1" s="78"/>
    <row r="598" ht="15.75" customHeight="1" s="78"/>
    <row r="599" ht="15.75" customHeight="1" s="78"/>
    <row r="600" ht="15.75" customHeight="1" s="78"/>
    <row r="601" ht="15.75" customHeight="1" s="78"/>
    <row r="602" ht="15.75" customHeight="1" s="78"/>
    <row r="603" ht="15.75" customHeight="1" s="78"/>
    <row r="604" ht="15.75" customHeight="1" s="78"/>
    <row r="605" ht="15.75" customHeight="1" s="78"/>
    <row r="606" ht="15.75" customHeight="1" s="78"/>
    <row r="607" ht="15.75" customHeight="1" s="78"/>
    <row r="608" ht="15.75" customHeight="1" s="78"/>
    <row r="609" ht="15.75" customHeight="1" s="78"/>
    <row r="610" ht="15.75" customHeight="1" s="78"/>
    <row r="611" ht="15.75" customHeight="1" s="78"/>
    <row r="612" ht="15.75" customHeight="1" s="78"/>
    <row r="613" ht="15.75" customHeight="1" s="78"/>
    <row r="614" ht="15.75" customHeight="1" s="78"/>
    <row r="615" ht="15.75" customHeight="1" s="78"/>
    <row r="616" ht="15.75" customHeight="1" s="78"/>
    <row r="617" ht="15.75" customHeight="1" s="78"/>
    <row r="618" ht="15.75" customHeight="1" s="78"/>
    <row r="619" ht="15.75" customHeight="1" s="78"/>
    <row r="620" ht="15.75" customHeight="1" s="78"/>
    <row r="621" ht="15.75" customHeight="1" s="78"/>
    <row r="622" ht="15.75" customHeight="1" s="78"/>
    <row r="623" ht="15.75" customHeight="1" s="78"/>
    <row r="624" ht="15.75" customHeight="1" s="78"/>
    <row r="625" ht="15.75" customHeight="1" s="78"/>
    <row r="626" ht="15.75" customHeight="1" s="78"/>
    <row r="627" ht="15.75" customHeight="1" s="78"/>
    <row r="628" ht="15.75" customHeight="1" s="78"/>
    <row r="629" ht="15.75" customHeight="1" s="78"/>
    <row r="630" ht="15.75" customHeight="1" s="78"/>
    <row r="631" ht="15.75" customHeight="1" s="78"/>
    <row r="632" ht="15.75" customHeight="1" s="78"/>
    <row r="633" ht="15.75" customHeight="1" s="78"/>
    <row r="634" ht="15.75" customHeight="1" s="78"/>
    <row r="635" ht="15.75" customHeight="1" s="78"/>
    <row r="636" ht="15.75" customHeight="1" s="78"/>
    <row r="637" ht="15.75" customHeight="1" s="78"/>
    <row r="638" ht="15.75" customHeight="1" s="78"/>
    <row r="639" ht="15.75" customHeight="1" s="78"/>
    <row r="640" ht="15.75" customHeight="1" s="78"/>
    <row r="641" ht="15.75" customHeight="1" s="78"/>
    <row r="642" ht="15.75" customHeight="1" s="78"/>
    <row r="643" ht="15.75" customHeight="1" s="78"/>
    <row r="644" ht="15.75" customHeight="1" s="78"/>
    <row r="645" ht="15.75" customHeight="1" s="78"/>
    <row r="646" ht="15.75" customHeight="1" s="78"/>
    <row r="647" ht="15.75" customHeight="1" s="78"/>
    <row r="648" ht="15.75" customHeight="1" s="78"/>
    <row r="649" ht="15.75" customHeight="1" s="78"/>
    <row r="650" ht="15.75" customHeight="1" s="78"/>
    <row r="651" ht="15.75" customHeight="1" s="78"/>
    <row r="652" ht="15.75" customHeight="1" s="78"/>
    <row r="653" ht="15.75" customHeight="1" s="78"/>
    <row r="654" ht="15.75" customHeight="1" s="78"/>
    <row r="655" ht="15.75" customHeight="1" s="78"/>
    <row r="656" ht="15.75" customHeight="1" s="78"/>
    <row r="657" ht="15.75" customHeight="1" s="78"/>
    <row r="658" ht="15.75" customHeight="1" s="78"/>
    <row r="659" ht="15.75" customHeight="1" s="78"/>
    <row r="660" ht="15.75" customHeight="1" s="78"/>
    <row r="661" ht="15.75" customHeight="1" s="78"/>
    <row r="662" ht="15.75" customHeight="1" s="78"/>
    <row r="663" ht="15.75" customHeight="1" s="78"/>
    <row r="664" ht="15.75" customHeight="1" s="78"/>
    <row r="665" ht="15.75" customHeight="1" s="78"/>
    <row r="666" ht="15.75" customHeight="1" s="78"/>
    <row r="667" ht="15.75" customHeight="1" s="78"/>
    <row r="668" ht="15.75" customHeight="1" s="78"/>
    <row r="669" ht="15.75" customHeight="1" s="78"/>
    <row r="670" ht="15.75" customHeight="1" s="78"/>
    <row r="671" ht="15.75" customHeight="1" s="78"/>
    <row r="672" ht="15.75" customHeight="1" s="78"/>
    <row r="673" ht="15.75" customHeight="1" s="78"/>
    <row r="674" ht="15.75" customHeight="1" s="78"/>
    <row r="675" ht="15.75" customHeight="1" s="78"/>
    <row r="676" ht="15.75" customHeight="1" s="78"/>
    <row r="677" ht="15.75" customHeight="1" s="78"/>
    <row r="678" ht="15.75" customHeight="1" s="78"/>
    <row r="679" ht="15.75" customHeight="1" s="78"/>
    <row r="680" ht="15.75" customHeight="1" s="78"/>
    <row r="681" ht="15.75" customHeight="1" s="78"/>
    <row r="682" ht="15.75" customHeight="1" s="78"/>
    <row r="683" ht="15.75" customHeight="1" s="78"/>
    <row r="684" ht="15.75" customHeight="1" s="78"/>
    <row r="685" ht="15.75" customHeight="1" s="78"/>
    <row r="686" ht="15.75" customHeight="1" s="78"/>
    <row r="687" ht="15.75" customHeight="1" s="78"/>
    <row r="688" ht="15.75" customHeight="1" s="78"/>
    <row r="689" ht="15.75" customHeight="1" s="78"/>
    <row r="690" ht="15.75" customHeight="1" s="78"/>
    <row r="691" ht="15.75" customHeight="1" s="78"/>
    <row r="692" ht="15.75" customHeight="1" s="78"/>
    <row r="693" ht="15.75" customHeight="1" s="78"/>
    <row r="694" ht="15.75" customHeight="1" s="78"/>
    <row r="695" ht="15.75" customHeight="1" s="78"/>
    <row r="696" ht="15.75" customHeight="1" s="78"/>
    <row r="697" ht="15.75" customHeight="1" s="78"/>
    <row r="698" ht="15.75" customHeight="1" s="78"/>
    <row r="699" ht="15.75" customHeight="1" s="78"/>
    <row r="700" ht="15.75" customHeight="1" s="78"/>
    <row r="701" ht="15.75" customHeight="1" s="78"/>
    <row r="702" ht="15.75" customHeight="1" s="78"/>
    <row r="703" ht="15.75" customHeight="1" s="78"/>
    <row r="704" ht="15.75" customHeight="1" s="78"/>
    <row r="705" ht="15.75" customHeight="1" s="78"/>
    <row r="706" ht="15.75" customHeight="1" s="78"/>
    <row r="707" ht="15.75" customHeight="1" s="78"/>
    <row r="708" ht="15.75" customHeight="1" s="78"/>
    <row r="709" ht="15.75" customHeight="1" s="78"/>
    <row r="710" ht="15.75" customHeight="1" s="78"/>
    <row r="711" ht="15.75" customHeight="1" s="78"/>
    <row r="712" ht="15.75" customHeight="1" s="78"/>
    <row r="713" ht="15.75" customHeight="1" s="78"/>
    <row r="714" ht="15.75" customHeight="1" s="78"/>
    <row r="715" ht="15.75" customHeight="1" s="78"/>
    <row r="716" ht="15.75" customHeight="1" s="78"/>
    <row r="717" ht="15.75" customHeight="1" s="78"/>
    <row r="718" ht="15.75" customHeight="1" s="78"/>
    <row r="719" ht="15.75" customHeight="1" s="78"/>
    <row r="720" ht="15.75" customHeight="1" s="78"/>
    <row r="721" ht="15.75" customHeight="1" s="78"/>
    <row r="722" ht="15.75" customHeight="1" s="78"/>
    <row r="723" ht="15.75" customHeight="1" s="78"/>
    <row r="724" ht="15.75" customHeight="1" s="78"/>
    <row r="725" ht="15.75" customHeight="1" s="78"/>
    <row r="726" ht="15.75" customHeight="1" s="78"/>
    <row r="727" ht="15.75" customHeight="1" s="78"/>
    <row r="728" ht="15.75" customHeight="1" s="78"/>
    <row r="729" ht="15.75" customHeight="1" s="78"/>
    <row r="730" ht="15.75" customHeight="1" s="78"/>
    <row r="731" ht="15.75" customHeight="1" s="78"/>
    <row r="732" ht="15.75" customHeight="1" s="78"/>
    <row r="733" ht="15.75" customHeight="1" s="78"/>
    <row r="734" ht="15.75" customHeight="1" s="78"/>
    <row r="735" ht="15.75" customHeight="1" s="78"/>
    <row r="736" ht="15.75" customHeight="1" s="78"/>
    <row r="737" ht="15.75" customHeight="1" s="78"/>
    <row r="738" ht="15.75" customHeight="1" s="78"/>
    <row r="739" ht="15.75" customHeight="1" s="78"/>
    <row r="740" ht="15.75" customHeight="1" s="78"/>
    <row r="741" ht="15.75" customHeight="1" s="78"/>
    <row r="742" ht="15.75" customHeight="1" s="78"/>
    <row r="743" ht="15.75" customHeight="1" s="78"/>
    <row r="744" ht="15.75" customHeight="1" s="78"/>
    <row r="745" ht="15.75" customHeight="1" s="78"/>
    <row r="746" ht="15.75" customHeight="1" s="78"/>
    <row r="747" ht="15.75" customHeight="1" s="78"/>
    <row r="748" ht="15.75" customHeight="1" s="78"/>
    <row r="749" ht="15.75" customHeight="1" s="78"/>
    <row r="750" ht="15.75" customHeight="1" s="78"/>
    <row r="751" ht="15.75" customHeight="1" s="78"/>
    <row r="752" ht="15.75" customHeight="1" s="78"/>
    <row r="753" ht="15.75" customHeight="1" s="78"/>
    <row r="754" ht="15.75" customHeight="1" s="78"/>
    <row r="755" ht="15.75" customHeight="1" s="78"/>
    <row r="756" ht="15.75" customHeight="1" s="78"/>
    <row r="757" ht="15.75" customHeight="1" s="78"/>
    <row r="758" ht="15.75" customHeight="1" s="78"/>
    <row r="759" ht="15.75" customHeight="1" s="78"/>
    <row r="760" ht="15.75" customHeight="1" s="78"/>
    <row r="761" ht="15.75" customHeight="1" s="78"/>
    <row r="762" ht="15.75" customHeight="1" s="78"/>
    <row r="763" ht="15.75" customHeight="1" s="78"/>
    <row r="764" ht="15.75" customHeight="1" s="78"/>
    <row r="765" ht="15.75" customHeight="1" s="78"/>
    <row r="766" ht="15.75" customHeight="1" s="78"/>
    <row r="767" ht="15.75" customHeight="1" s="78"/>
    <row r="768" ht="15.75" customHeight="1" s="78"/>
    <row r="769" ht="15.75" customHeight="1" s="78"/>
    <row r="770" ht="15.75" customHeight="1" s="78"/>
    <row r="771" ht="15.75" customHeight="1" s="78"/>
    <row r="772" ht="15.75" customHeight="1" s="78"/>
    <row r="773" ht="15.75" customHeight="1" s="78"/>
    <row r="774" ht="15.75" customHeight="1" s="78"/>
    <row r="775" ht="15.75" customHeight="1" s="78"/>
    <row r="776" ht="15.75" customHeight="1" s="78"/>
    <row r="777" ht="15.75" customHeight="1" s="78"/>
    <row r="778" ht="15.75" customHeight="1" s="78"/>
    <row r="779" ht="15.75" customHeight="1" s="78"/>
    <row r="780" ht="15.75" customHeight="1" s="78"/>
    <row r="781" ht="15.75" customHeight="1" s="78"/>
    <row r="782" ht="15.75" customHeight="1" s="78"/>
    <row r="783" ht="15.75" customHeight="1" s="78"/>
    <row r="784" ht="15.75" customHeight="1" s="78"/>
    <row r="785" ht="15.75" customHeight="1" s="78"/>
    <row r="786" ht="15.75" customHeight="1" s="78"/>
    <row r="787" ht="15.75" customHeight="1" s="78"/>
    <row r="788" ht="15.75" customHeight="1" s="78"/>
    <row r="789" ht="15.75" customHeight="1" s="78"/>
    <row r="790" ht="15.75" customHeight="1" s="78"/>
    <row r="791" ht="15.75" customHeight="1" s="78"/>
    <row r="792" ht="15.75" customHeight="1" s="78"/>
    <row r="793" ht="15.75" customHeight="1" s="78"/>
    <row r="794" ht="15.75" customHeight="1" s="78"/>
    <row r="795" ht="15.75" customHeight="1" s="78"/>
    <row r="796" ht="15.75" customHeight="1" s="78"/>
    <row r="797" ht="15.75" customHeight="1" s="78"/>
    <row r="798" ht="15.75" customHeight="1" s="78"/>
    <row r="799" ht="15.75" customHeight="1" s="78"/>
    <row r="800" ht="15.75" customHeight="1" s="78"/>
    <row r="801" ht="15.75" customHeight="1" s="78"/>
    <row r="802" ht="15.75" customHeight="1" s="78"/>
    <row r="803" ht="15.75" customHeight="1" s="78"/>
    <row r="804" ht="15.75" customHeight="1" s="78"/>
    <row r="805" ht="15.75" customHeight="1" s="78"/>
    <row r="806" ht="15.75" customHeight="1" s="78"/>
    <row r="807" ht="15.75" customHeight="1" s="78"/>
    <row r="808" ht="15.75" customHeight="1" s="78"/>
    <row r="809" ht="15.75" customHeight="1" s="78"/>
    <row r="810" ht="15.75" customHeight="1" s="78"/>
    <row r="811" ht="15.75" customHeight="1" s="78"/>
    <row r="812" ht="15.75" customHeight="1" s="78"/>
    <row r="813" ht="15.75" customHeight="1" s="78"/>
    <row r="814" ht="15.75" customHeight="1" s="78"/>
    <row r="815" ht="15.75" customHeight="1" s="78"/>
    <row r="816" ht="15.75" customHeight="1" s="78"/>
    <row r="817" ht="15.75" customHeight="1" s="78"/>
    <row r="818" ht="15.75" customHeight="1" s="78"/>
    <row r="819" ht="15.75" customHeight="1" s="78"/>
    <row r="820" ht="15.75" customHeight="1" s="78"/>
    <row r="821" ht="15.75" customHeight="1" s="78"/>
    <row r="822" ht="15.75" customHeight="1" s="78"/>
    <row r="823" ht="15.75" customHeight="1" s="78"/>
    <row r="824" ht="15.75" customHeight="1" s="78"/>
    <row r="825" ht="15.75" customHeight="1" s="78"/>
    <row r="826" ht="15.75" customHeight="1" s="78"/>
    <row r="827" ht="15.75" customHeight="1" s="78"/>
    <row r="828" ht="15.75" customHeight="1" s="78"/>
    <row r="829" ht="15.75" customHeight="1" s="78"/>
    <row r="830" ht="15.75" customHeight="1" s="78"/>
    <row r="831" ht="15.75" customHeight="1" s="78"/>
    <row r="832" ht="15.75" customHeight="1" s="78"/>
    <row r="833" ht="15.75" customHeight="1" s="78"/>
    <row r="834" ht="15.75" customHeight="1" s="78"/>
    <row r="835" ht="15.75" customHeight="1" s="78"/>
    <row r="836" ht="15.75" customHeight="1" s="78"/>
    <row r="837" ht="15.75" customHeight="1" s="78"/>
    <row r="838" ht="15.75" customHeight="1" s="78"/>
    <row r="839" ht="15.75" customHeight="1" s="78"/>
    <row r="840" ht="15.75" customHeight="1" s="78"/>
    <row r="841" ht="15.75" customHeight="1" s="78"/>
    <row r="842" ht="15.75" customHeight="1" s="78"/>
    <row r="843" ht="15.75" customHeight="1" s="78"/>
    <row r="844" ht="15.75" customHeight="1" s="78"/>
    <row r="845" ht="15.75" customHeight="1" s="78"/>
    <row r="846" ht="15.75" customHeight="1" s="78"/>
    <row r="847" ht="15.75" customHeight="1" s="78"/>
    <row r="848" ht="15.75" customHeight="1" s="78"/>
    <row r="849" ht="15.75" customHeight="1" s="78"/>
    <row r="850" ht="15.75" customHeight="1" s="78"/>
    <row r="851" ht="15.75" customHeight="1" s="78"/>
    <row r="852" ht="15.75" customHeight="1" s="78"/>
    <row r="853" ht="15.75" customHeight="1" s="78"/>
    <row r="854" ht="15.75" customHeight="1" s="78"/>
    <row r="855" ht="15.75" customHeight="1" s="78"/>
    <row r="856" ht="15.75" customHeight="1" s="78"/>
    <row r="857" ht="15.75" customHeight="1" s="78"/>
    <row r="858" ht="15.75" customHeight="1" s="78"/>
    <row r="859" ht="15.75" customHeight="1" s="78"/>
    <row r="860" ht="15.75" customHeight="1" s="78"/>
    <row r="861" ht="15.75" customHeight="1" s="78"/>
    <row r="862" ht="15.75" customHeight="1" s="78"/>
    <row r="863" ht="15.75" customHeight="1" s="78"/>
    <row r="864" ht="15.75" customHeight="1" s="78"/>
    <row r="865" ht="15.75" customHeight="1" s="78"/>
    <row r="866" ht="15.75" customHeight="1" s="78"/>
    <row r="867" ht="15.75" customHeight="1" s="78"/>
    <row r="868" ht="15.75" customHeight="1" s="78"/>
    <row r="869" ht="15.75" customHeight="1" s="78"/>
    <row r="870" ht="15.75" customHeight="1" s="78"/>
    <row r="871" ht="15.75" customHeight="1" s="78"/>
    <row r="872" ht="15.75" customHeight="1" s="78"/>
    <row r="873" ht="15.75" customHeight="1" s="78"/>
    <row r="874" ht="15.75" customHeight="1" s="78"/>
    <row r="875" ht="15.75" customHeight="1" s="78"/>
    <row r="876" ht="15.75" customHeight="1" s="78"/>
    <row r="877" ht="15.75" customHeight="1" s="78"/>
    <row r="878" ht="15.75" customHeight="1" s="78"/>
    <row r="879" ht="15.75" customHeight="1" s="78"/>
    <row r="880" ht="15.75" customHeight="1" s="78"/>
    <row r="881" ht="15.75" customHeight="1" s="78"/>
    <row r="882" ht="15.75" customHeight="1" s="78"/>
    <row r="883" ht="15.75" customHeight="1" s="78"/>
    <row r="884" ht="15.75" customHeight="1" s="78"/>
    <row r="885" ht="15.75" customHeight="1" s="78"/>
    <row r="886" ht="15.75" customHeight="1" s="78"/>
    <row r="887" ht="15.75" customHeight="1" s="78"/>
    <row r="888" ht="15.75" customHeight="1" s="78"/>
    <row r="889" ht="15.75" customHeight="1" s="78"/>
    <row r="890" ht="15.75" customHeight="1" s="78"/>
    <row r="891" ht="15.75" customHeight="1" s="78"/>
    <row r="892" ht="15.75" customHeight="1" s="78"/>
    <row r="893" ht="15.75" customHeight="1" s="78"/>
    <row r="894" ht="15.75" customHeight="1" s="78"/>
    <row r="895" ht="15.75" customHeight="1" s="78"/>
    <row r="896" ht="15.75" customHeight="1" s="78"/>
    <row r="897" ht="15.75" customHeight="1" s="78"/>
    <row r="898" ht="15.75" customHeight="1" s="78"/>
    <row r="899" ht="15.75" customHeight="1" s="78"/>
    <row r="900" ht="15.75" customHeight="1" s="78"/>
    <row r="901" ht="15.75" customHeight="1" s="78"/>
    <row r="902" ht="15.75" customHeight="1" s="78"/>
    <row r="903" ht="15.75" customHeight="1" s="78"/>
    <row r="904" ht="15.75" customHeight="1" s="78"/>
    <row r="905" ht="15.75" customHeight="1" s="78"/>
    <row r="906" ht="15.75" customHeight="1" s="78"/>
    <row r="907" ht="15.75" customHeight="1" s="78"/>
    <row r="908" ht="15.75" customHeight="1" s="78"/>
    <row r="909" ht="15.75" customHeight="1" s="78"/>
    <row r="910" ht="15.75" customHeight="1" s="78"/>
    <row r="911" ht="15.75" customHeight="1" s="78"/>
    <row r="912" ht="15.75" customHeight="1" s="78"/>
    <row r="913" ht="15.75" customHeight="1" s="78"/>
    <row r="914" ht="15.75" customHeight="1" s="78"/>
    <row r="915" ht="15.75" customHeight="1" s="78"/>
    <row r="916" ht="15.75" customHeight="1" s="78"/>
    <row r="917" ht="15.75" customHeight="1" s="78"/>
    <row r="918" ht="15.75" customHeight="1" s="78"/>
    <row r="919" ht="15.75" customHeight="1" s="78"/>
    <row r="920" ht="15.75" customHeight="1" s="78"/>
    <row r="921" ht="15.75" customHeight="1" s="78"/>
    <row r="922" ht="15.75" customHeight="1" s="78"/>
    <row r="923" ht="15.75" customHeight="1" s="78"/>
    <row r="924" ht="15.75" customHeight="1" s="78"/>
    <row r="925" ht="15.75" customHeight="1" s="78"/>
    <row r="926" ht="15.75" customHeight="1" s="78"/>
    <row r="927" ht="15.75" customHeight="1" s="78"/>
    <row r="928" ht="15.75" customHeight="1" s="78"/>
    <row r="929" ht="15.75" customHeight="1" s="78"/>
    <row r="930" ht="15.75" customHeight="1" s="78"/>
    <row r="931" ht="15.75" customHeight="1" s="78"/>
    <row r="932" ht="15.75" customHeight="1" s="78"/>
    <row r="933" ht="15.75" customHeight="1" s="78"/>
    <row r="934" ht="15.75" customHeight="1" s="78"/>
    <row r="935" ht="15.75" customHeight="1" s="78"/>
    <row r="936" ht="15.75" customHeight="1" s="78"/>
    <row r="937" ht="15.75" customHeight="1" s="78"/>
    <row r="938" ht="15.75" customHeight="1" s="78"/>
    <row r="939" ht="15.75" customHeight="1" s="78"/>
    <row r="940" ht="15.75" customHeight="1" s="78"/>
    <row r="941" ht="15.75" customHeight="1" s="78"/>
    <row r="942" ht="15.75" customHeight="1" s="78"/>
    <row r="943" ht="15.75" customHeight="1" s="78"/>
    <row r="944" ht="15.75" customHeight="1" s="78"/>
    <row r="945" ht="15.75" customHeight="1" s="78"/>
    <row r="946" ht="15.75" customHeight="1" s="78"/>
    <row r="947" ht="15.75" customHeight="1" s="78"/>
    <row r="948" ht="15.75" customHeight="1" s="78"/>
    <row r="949" ht="15.75" customHeight="1" s="78"/>
    <row r="950" ht="15.75" customHeight="1" s="78"/>
    <row r="951" ht="15.75" customHeight="1" s="78"/>
    <row r="952" ht="15.75" customHeight="1" s="78"/>
    <row r="953" ht="15.75" customHeight="1" s="78"/>
    <row r="954" ht="15.75" customHeight="1" s="78"/>
    <row r="955" ht="15.75" customHeight="1" s="78"/>
    <row r="956" ht="15.75" customHeight="1" s="78"/>
    <row r="957" ht="15.75" customHeight="1" s="78"/>
    <row r="958" ht="15.75" customHeight="1" s="78"/>
    <row r="959" ht="15.75" customHeight="1" s="78"/>
    <row r="960" ht="15.75" customHeight="1" s="78"/>
    <row r="961" ht="15.75" customHeight="1" s="78"/>
    <row r="962" ht="15.75" customHeight="1" s="78"/>
    <row r="963" ht="15.75" customHeight="1" s="78"/>
    <row r="964" ht="15.75" customHeight="1" s="78"/>
    <row r="965" ht="15.75" customHeight="1" s="78"/>
    <row r="966" ht="15.75" customHeight="1" s="78"/>
    <row r="967" ht="15.75" customHeight="1" s="78"/>
    <row r="968" ht="15.75" customHeight="1" s="78"/>
    <row r="969" ht="15.75" customHeight="1" s="78"/>
    <row r="970" ht="15.75" customHeight="1" s="78"/>
    <row r="971" ht="15.75" customHeight="1" s="78"/>
    <row r="972" ht="15.75" customHeight="1" s="78"/>
    <row r="973" ht="15.75" customHeight="1" s="78"/>
    <row r="974" ht="15.75" customHeight="1" s="78"/>
    <row r="975" ht="15.75" customHeight="1" s="78"/>
    <row r="976" ht="15.75" customHeight="1" s="78"/>
    <row r="977" ht="15.75" customHeight="1" s="78"/>
    <row r="978" ht="15.75" customHeight="1" s="78"/>
    <row r="979" ht="15.75" customHeight="1" s="78"/>
    <row r="980" ht="15.75" customHeight="1" s="78"/>
    <row r="981" ht="15.75" customHeight="1" s="78"/>
    <row r="982" ht="15.75" customHeight="1" s="78"/>
    <row r="983" ht="15.75" customHeight="1" s="78"/>
    <row r="984" ht="15.75" customHeight="1" s="78"/>
    <row r="985" ht="15.75" customHeight="1" s="78"/>
    <row r="986" ht="15.75" customHeight="1" s="78"/>
    <row r="987" ht="15.75" customHeight="1" s="78"/>
    <row r="988" ht="15.75" customHeight="1" s="78"/>
    <row r="989" ht="15.75" customHeight="1" s="78"/>
    <row r="990" ht="15.75" customHeight="1" s="78"/>
    <row r="991" ht="15.75" customHeight="1" s="78"/>
    <row r="992" ht="15.75" customHeight="1" s="78"/>
    <row r="993" ht="15.75" customHeight="1" s="78"/>
    <row r="994" ht="15.75" customHeight="1" s="78"/>
    <row r="995" ht="15.75" customHeight="1" s="78"/>
    <row r="996" ht="15.75" customHeight="1" s="78"/>
    <row r="997" ht="15.75" customHeight="1" s="78"/>
    <row r="998" ht="15.75" customHeight="1" s="78"/>
    <row r="999" ht="15.75" customHeight="1" s="78"/>
    <row r="1000" ht="15.75" customHeight="1" s="78"/>
  </sheetData>
  <mergeCells count="11">
    <mergeCell ref="D20:E20"/>
    <mergeCell ref="A18:D18"/>
    <mergeCell ref="A19:C19"/>
    <mergeCell ref="D19:E19"/>
    <mergeCell ref="A1:F1"/>
    <mergeCell ref="A22:C22"/>
    <mergeCell ref="D22:E22"/>
    <mergeCell ref="A21:C21"/>
    <mergeCell ref="A2:J2"/>
    <mergeCell ref="A20:C20"/>
    <mergeCell ref="D21:E21"/>
  </mergeCells>
  <dataValidations count="1">
    <dataValidation sqref="E5:E16" showDropDown="0" showInputMessage="0" showErrorMessage="0" allowBlank="1" type="list">
      <formula1>"Pass,Partial,Fail,Not Tested,N/A"</formula1>
    </dataValidation>
  </dataValidations>
  <pageMargins left="0.75" right="0.75" top="1" bottom="1" header="0" footer="0"/>
  <pageSetup orientation="landscape" fitToHeight="0"/>
</worksheet>
</file>

<file path=xl/worksheets/sheet10.xml><?xml version="1.0" encoding="utf-8"?>
<worksheet xmlns="http://schemas.openxmlformats.org/spreadsheetml/2006/main">
  <sheetPr>
    <outlinePr summaryBelow="1" summaryRight="1"/>
    <pageSetUpPr fitToPage="1"/>
  </sheetPr>
  <dimension ref="A1:M49"/>
  <sheetViews>
    <sheetView workbookViewId="0">
      <pane ySplit="4" topLeftCell="A5" activePane="bottomLeft" state="frozen"/>
      <selection pane="bottomLeft" activeCell="A1" sqref="A1"/>
    </sheetView>
  </sheetViews>
  <sheetFormatPr baseColWidth="8" defaultColWidth="14.43" defaultRowHeight="15" customHeight="1"/>
  <cols>
    <col width="8" customWidth="1" style="78" min="1" max="1"/>
    <col width="34" customWidth="1" style="78" min="2" max="2"/>
    <col width="7" customWidth="1" style="78" min="3" max="3"/>
    <col width="14.57" customWidth="1" style="78" min="4" max="4"/>
    <col width="22" customWidth="1" style="78" min="5" max="5"/>
    <col width="13.71" customWidth="1" style="78" min="6" max="6"/>
    <col width="10" customWidth="1" style="78" min="7" max="7"/>
    <col width="40" customWidth="1" style="78" min="8" max="8"/>
    <col width="20.57" customWidth="1" style="78" min="9" max="9"/>
    <col width="11" customWidth="1" style="78" min="10" max="10"/>
    <col width="46" customWidth="1" style="78" min="11" max="11"/>
    <col width="26.29" customWidth="1" style="78" min="12" max="12"/>
    <col width="73.56999999999999" customWidth="1" style="78" min="13" max="13"/>
    <col width="8.710000000000001" customWidth="1" style="78" min="14" max="26"/>
  </cols>
  <sheetData>
    <row r="1">
      <c r="A1" s="3" t="inlineStr">
        <is>
          <t>Accessibility Scorecard — GTWorld (Guaranty Trust Bank, Nigeria)</t>
        </is>
      </c>
    </row>
    <row r="2" ht="24" customHeight="1" s="78">
      <c r="A2" s="6" t="inlineStr">
        <is>
          <t>Blue cells are inputs (Status / Evidence count / Notes). WCAG2ICT and Recommended Improvement columns are reference-only. Everything else recalculates automatically.</t>
        </is>
      </c>
    </row>
    <row r="4" ht="30" customHeight="1" s="78">
      <c r="A4" s="8" t="inlineStr">
        <is>
          <t>SC #</t>
        </is>
      </c>
      <c r="B4" s="8" t="inlineStr">
        <is>
          <t>Success Criterion</t>
        </is>
      </c>
      <c r="C4" s="8" t="inlineStr">
        <is>
          <t>Level</t>
        </is>
      </c>
      <c r="D4" s="8" t="inlineStr">
        <is>
          <t>Principle</t>
        </is>
      </c>
      <c r="E4" s="8" t="inlineStr">
        <is>
          <t>Relevance
weight (1-3)</t>
        </is>
      </c>
      <c r="F4" s="8" t="inlineStr">
        <is>
          <t>Status</t>
        </is>
      </c>
      <c r="G4" s="8" t="inlineStr">
        <is>
          <t>Status
score</t>
        </is>
      </c>
      <c r="H4" s="8" t="inlineStr">
        <is>
          <t>Notes / Evidence</t>
        </is>
      </c>
      <c r="I4" s="8" t="inlineStr">
        <is>
          <t>Instances
found</t>
        </is>
      </c>
      <c r="J4" s="8" t="inlineStr">
        <is>
          <t>Weighted
score</t>
        </is>
      </c>
      <c r="K4" s="8" t="inlineStr">
        <is>
          <t>WCAG2ICT interpretation
(native/mobile software)</t>
        </is>
      </c>
      <c r="L4" s="18" t="inlineStr">
        <is>
          <t>Tested?</t>
        </is>
      </c>
      <c r="M4" s="8" t="inlineStr">
        <is>
          <t>Recommended Improvement</t>
        </is>
      </c>
    </row>
    <row r="5">
      <c r="A5" s="15" t="inlineStr">
        <is>
          <t>1.1.1</t>
        </is>
      </c>
      <c r="B5" s="11" t="inlineStr">
        <is>
          <t>Non-text Content</t>
        </is>
      </c>
      <c r="C5" s="13" t="inlineStr">
        <is>
          <t>A</t>
        </is>
      </c>
      <c r="D5" s="15" t="inlineStr">
        <is>
          <t>Perceivable</t>
        </is>
      </c>
      <c r="E5" s="23" t="n">
        <v>3</v>
      </c>
      <c r="F5" s="26" t="inlineStr">
        <is>
          <t>Fail</t>
        </is>
      </c>
      <c r="G5" s="15">
        <f>IF(F5="Pass",1,IF(F5="Partial",0.5,IF(F5="Fail",0,0)))</f>
        <v/>
      </c>
      <c r="H5" s="34" t="inlineStr">
        <is>
          <t>51 unlabelled controls + 15 visible text strings not exposed to a screen reader. The unlabelled controls are the back / close button on every sub-screen (23x), plus the profile avatar, the show / hide balance eye (tvEye), the filter button, the loaders, the share icon, the history search field and the transaction list.</t>
        </is>
      </c>
      <c r="I5" s="23" t="n">
        <v>66</v>
      </c>
      <c r="J5" s="15">
        <f>E5*G5</f>
        <v/>
      </c>
      <c r="K5" s="39" t="inlineStr">
        <is>
          <t>'Web page' -&gt; 'software'; a non-text control's accessible name must be exposed via the platform accessibility API (Android AccessibilityNodeInfo / iOS UIAccessibility), not just visible on screen.</t>
        </is>
      </c>
      <c r="L5" s="15">
        <f>IF(OR(F5="Pass",F5="Partial",F5="Fail"),1,0)</f>
        <v/>
      </c>
      <c r="M5" s="41" t="inlineStr">
        <is>
          <t>Label the back / close button (btnNavigation, 23 instances), the eye (tvEye), avatar, filter and share icons, and give loaders an announced 'Loading' description. Expose the filter chips' and bank list's text to accessibility services.</t>
        </is>
      </c>
    </row>
    <row r="6">
      <c r="A6" s="29" t="inlineStr">
        <is>
          <t>1.3.1</t>
        </is>
      </c>
      <c r="B6" s="25" t="inlineStr">
        <is>
          <t>Info and Relationships</t>
        </is>
      </c>
      <c r="C6" s="13" t="inlineStr">
        <is>
          <t>A</t>
        </is>
      </c>
      <c r="D6" s="29" t="inlineStr">
        <is>
          <t>Perceivable</t>
        </is>
      </c>
      <c r="E6" s="42" t="n">
        <v>2</v>
      </c>
      <c r="F6" s="43" t="inlineStr">
        <is>
          <t>Partial</t>
        </is>
      </c>
      <c r="G6" s="29">
        <f>IF(F6="Pass",1,IF(F6="Partial",0.5,IF(F6="Fail",0,0)))</f>
        <v/>
      </c>
      <c r="H6" s="45" t="inlineStr">
        <is>
          <t>The two calendar buttons beside Start / End date both announce only 'not checked' (4 screens). The transaction list container (rvTransactions) is flagged unlabelled. History rows show a truncated reference number as the title and no amount (S1-12).</t>
        </is>
      </c>
      <c r="I6" s="42" t="n">
        <v>4</v>
      </c>
      <c r="J6" s="29">
        <f>E6*G6</f>
        <v/>
      </c>
      <c r="K6" s="46" t="inlineStr">
        <is>
          <t>'Markup' -&gt; structural relationships conveyed through the accessibility tree (grouping, headings, lists) rather than HTML; a screen reader must be able to derive the same grouping a sighted user sees.</t>
        </is>
      </c>
      <c r="L6" s="29">
        <f>IF(OR(F6="Pass",F6="Partial",F6="Fail"),1,0)</f>
        <v/>
      </c>
      <c r="M6" s="47" t="inlineStr">
        <is>
          <t>Give the start / end date buttons distinct names ('Choose start date', 'Choose end date'). Structure each history row as one element: description, amount, date.</t>
        </is>
      </c>
    </row>
    <row r="7">
      <c r="A7" s="15" t="inlineStr">
        <is>
          <t>1.3.2</t>
        </is>
      </c>
      <c r="B7" s="11" t="inlineStr">
        <is>
          <t>Meaningful Sequence</t>
        </is>
      </c>
      <c r="C7" s="13" t="inlineStr">
        <is>
          <t>A</t>
        </is>
      </c>
      <c r="D7" s="15" t="inlineStr">
        <is>
          <t>Perceivable</t>
        </is>
      </c>
      <c r="E7" s="23" t="n">
        <v>2</v>
      </c>
      <c r="F7" s="50" t="inlineStr">
        <is>
          <t>Not Tested</t>
        </is>
      </c>
      <c r="G7" s="15">
        <f>IF(F7="Pass",1,IF(F7="Partial",0.5,IF(F7="Fail",0,0)))</f>
        <v/>
      </c>
      <c r="H7" s="34" t="inlineStr">
        <is>
          <t>Requires manual TalkBack swipe-order testing.</t>
        </is>
      </c>
      <c r="I7" s="23" t="inlineStr">
        <is>
          <t>-</t>
        </is>
      </c>
      <c r="J7" s="15">
        <f>E7*G7</f>
        <v/>
      </c>
      <c r="K7" s="39" t="inlineStr">
        <is>
          <t>Applies as written: the swipe/focus order exposed to a screen reader must match the meaningful reading order, independent of visual layout.</t>
        </is>
      </c>
      <c r="L7" s="15">
        <f>IF(OR(F7="Pass",F7="Partial",F7="Fail"),1,0)</f>
        <v/>
      </c>
      <c r="M7" s="53" t="inlineStr">
        <is>
          <t>No fix to prescribe yet - conduct the manual test first to confirm actual status.</t>
        </is>
      </c>
    </row>
    <row r="8">
      <c r="A8" s="29" t="inlineStr">
        <is>
          <t>1.3.3</t>
        </is>
      </c>
      <c r="B8" s="25" t="inlineStr">
        <is>
          <t>Sensory Characteristics</t>
        </is>
      </c>
      <c r="C8" s="13" t="inlineStr">
        <is>
          <t>A</t>
        </is>
      </c>
      <c r="D8" s="29" t="inlineStr">
        <is>
          <t>Perceivable</t>
        </is>
      </c>
      <c r="E8" s="42" t="n">
        <v>1</v>
      </c>
      <c r="F8" s="54" t="inlineStr">
        <is>
          <t>Pass</t>
        </is>
      </c>
      <c r="G8" s="29">
        <f>IF(F8="Pass",1,IF(F8="Partial",0.5,IF(F8="Fail",0,0)))</f>
        <v/>
      </c>
      <c r="H8" s="45" t="inlineStr">
        <is>
          <t>No shape-only or position-only instructions observed.</t>
        </is>
      </c>
      <c r="I8" s="42" t="inlineStr">
        <is>
          <t>-</t>
        </is>
      </c>
      <c r="J8" s="29">
        <f>E8*G8</f>
        <v/>
      </c>
      <c r="K8" s="46" t="inlineStr">
        <is>
          <t>Applies as written; no web-specific terms to reinterpret.</t>
        </is>
      </c>
      <c r="L8" s="29">
        <f>IF(OR(F8="Pass",F8="Partial",F8="Fail"),1,0)</f>
        <v/>
      </c>
      <c r="M8" s="57" t="inlineStr">
        <is>
          <t>No action needed on current evidence.</t>
        </is>
      </c>
    </row>
    <row r="9">
      <c r="A9" s="15" t="inlineStr">
        <is>
          <t>1.4.1</t>
        </is>
      </c>
      <c r="B9" s="11" t="inlineStr">
        <is>
          <t>Use of Color</t>
        </is>
      </c>
      <c r="C9" s="13" t="inlineStr">
        <is>
          <t>A</t>
        </is>
      </c>
      <c r="D9" s="15" t="inlineStr">
        <is>
          <t>Perceivable</t>
        </is>
      </c>
      <c r="E9" s="23" t="n">
        <v>1</v>
      </c>
      <c r="F9" s="43" t="inlineStr">
        <is>
          <t>Partial</t>
        </is>
      </c>
      <c r="G9" s="15">
        <f>IF(F9="Pass",1,IF(F9="Partial",0.5,IF(F9="Fail",0,0)))</f>
        <v/>
      </c>
      <c r="H9" s="34" t="inlineStr">
        <is>
          <t>Selected filter chips, period chips and the bottom-nav tab are shown by orange fill / text only (S1-13/14, S2-9/10). An active filter is shown only by a small orange dot (S1-15). The EPIN toggle has no on / off text (S2-6).</t>
        </is>
      </c>
      <c r="I9" s="23" t="n">
        <v>4</v>
      </c>
      <c r="J9" s="15">
        <f>E9*G9</f>
        <v/>
      </c>
      <c r="K9" s="39" t="inlineStr">
        <is>
          <t>Applies as written; on native software this covers icon-only state indicators as much as web colour cues.</t>
        </is>
      </c>
      <c r="L9" s="15">
        <f>IF(OR(F9="Pass",F9="Partial",F9="Fail"),1,0)</f>
        <v/>
      </c>
      <c r="M9" s="62" t="inlineStr">
        <is>
          <t>Expose selected / checked state programmatically on chips, tabs and the EPIN toggle, and add a non-colour cue for an active filter (e.g. 'Filter (1)').</t>
        </is>
      </c>
    </row>
    <row r="10">
      <c r="A10" s="29" t="inlineStr">
        <is>
          <t>2.1.1</t>
        </is>
      </c>
      <c r="B10" s="25" t="inlineStr">
        <is>
          <t>Keyboard / assistive-tech equivalent</t>
        </is>
      </c>
      <c r="C10" s="13" t="inlineStr">
        <is>
          <t>A</t>
        </is>
      </c>
      <c r="D10" s="29" t="inlineStr">
        <is>
          <t>Operable</t>
        </is>
      </c>
      <c r="E10" s="42" t="n">
        <v>2</v>
      </c>
      <c r="F10" s="50" t="inlineStr">
        <is>
          <t>Not Tested</t>
        </is>
      </c>
      <c r="G10" s="29">
        <f>IF(F10="Pass",1,IF(F10="Partial",0.5,IF(F10="Fail",0,0)))</f>
        <v/>
      </c>
      <c r="H10" s="45" t="inlineStr">
        <is>
          <t>Requires manual Switch Access / external keyboard testing.</t>
        </is>
      </c>
      <c r="I10" s="42" t="inlineStr">
        <is>
          <t>-</t>
        </is>
      </c>
      <c r="J10" s="29">
        <f>E10*G10</f>
        <v/>
      </c>
      <c r="K10" s="46" t="inlineStr">
        <is>
          <t>'Keyboard' -&gt; 'keyboard interface', which WCAG2ICT clarifies includes assistive technologies such as Switch Access/Full Keyboard Access that emulate key input, not only a physical keyboard.</t>
        </is>
      </c>
      <c r="L10" s="29">
        <f>IF(OR(F10="Pass",F10="Partial",F10="Fail"),1,0)</f>
        <v/>
      </c>
      <c r="M10" s="57" t="inlineStr">
        <is>
          <t>No fix to prescribe yet - conduct the manual test first to confirm actual status.</t>
        </is>
      </c>
    </row>
    <row r="11">
      <c r="A11" s="15" t="inlineStr">
        <is>
          <t>2.4.3</t>
        </is>
      </c>
      <c r="B11" s="11" t="inlineStr">
        <is>
          <t>Focus Order</t>
        </is>
      </c>
      <c r="C11" s="13" t="inlineStr">
        <is>
          <t>A</t>
        </is>
      </c>
      <c r="D11" s="15" t="inlineStr">
        <is>
          <t>Operable</t>
        </is>
      </c>
      <c r="E11" s="23" t="n">
        <v>3</v>
      </c>
      <c r="F11" s="50" t="inlineStr">
        <is>
          <t>Not Tested</t>
        </is>
      </c>
      <c r="G11" s="15">
        <f>IF(F11="Pass",1,IF(F11="Partial",0.5,IF(F11="Fail",0,0)))</f>
        <v/>
      </c>
      <c r="H11" s="34" t="inlineStr">
        <is>
          <t>Requires manual TalkBack testing.</t>
        </is>
      </c>
      <c r="I11" s="23" t="inlineStr">
        <is>
          <t>-</t>
        </is>
      </c>
      <c r="J11" s="15">
        <f>E11*G11</f>
        <v/>
      </c>
      <c r="K11" s="39" t="inlineStr">
        <is>
          <t>Applies as written to the platform's own focus/accessibility-cursor order.</t>
        </is>
      </c>
      <c r="L11" s="15">
        <f>IF(OR(F11="Pass",F11="Partial",F11="Fail"),1,0)</f>
        <v/>
      </c>
      <c r="M11" s="53" t="inlineStr">
        <is>
          <t>No fix to prescribe yet - conduct the manual test first to confirm actual status.</t>
        </is>
      </c>
    </row>
    <row r="12">
      <c r="A12" s="29" t="inlineStr">
        <is>
          <t>2.4.4</t>
        </is>
      </c>
      <c r="B12" s="25" t="inlineStr">
        <is>
          <t>Link Purpose (In Context)</t>
        </is>
      </c>
      <c r="C12" s="13" t="inlineStr">
        <is>
          <t>A</t>
        </is>
      </c>
      <c r="D12" s="29" t="inlineStr">
        <is>
          <t>Operable</t>
        </is>
      </c>
      <c r="E12" s="42" t="n">
        <v>2</v>
      </c>
      <c r="F12" s="26" t="inlineStr">
        <is>
          <t>Fail</t>
        </is>
      </c>
      <c r="G12" s="29">
        <f>IF(F12="Pass",1,IF(F12="Partial",0.5,IF(F12="Fail",0,0)))</f>
        <v/>
      </c>
      <c r="H12" s="45" t="inlineStr">
        <is>
          <t>Icon-only controls with no accessible purpose: back / close on every sub-screen, eye, avatar, filter, share.</t>
        </is>
      </c>
      <c r="I12" s="42" t="n">
        <v>51</v>
      </c>
      <c r="J12" s="29">
        <f>E12*G12</f>
        <v/>
      </c>
      <c r="K12" s="46" t="inlineStr">
        <is>
          <t>'Link' -&gt; any control that navigates or triggers an action (a quick-link icon, a list row); purpose must be determinable from its accessible name or surrounding context.</t>
        </is>
      </c>
      <c r="L12" s="29">
        <f>IF(OR(F12="Pass",F12="Partial",F12="Fail"),1,0)</f>
        <v/>
      </c>
      <c r="M12" s="64" t="inlineStr">
        <is>
          <t>Name every icon control by its action ('Back', 'Show balance', 'Profile', 'Filter transactions', 'Share account details').</t>
        </is>
      </c>
    </row>
    <row r="13">
      <c r="A13" s="15" t="inlineStr">
        <is>
          <t>2.5.1</t>
        </is>
      </c>
      <c r="B13" s="11" t="inlineStr">
        <is>
          <t>Pointer Gestures</t>
        </is>
      </c>
      <c r="C13" s="13" t="inlineStr">
        <is>
          <t>A</t>
        </is>
      </c>
      <c r="D13" s="15" t="inlineStr">
        <is>
          <t>Operable</t>
        </is>
      </c>
      <c r="E13" s="23" t="n">
        <v>1</v>
      </c>
      <c r="F13" s="54" t="inlineStr">
        <is>
          <t>Pass</t>
        </is>
      </c>
      <c r="G13" s="15">
        <f>IF(F13="Pass",1,IF(F13="Partial",0.5,IF(F13="Fail",0,0)))</f>
        <v/>
      </c>
      <c r="H13" s="34" t="inlineStr">
        <is>
          <t>Horizontally scrolling chip and quick-action rows. No swipe-only or multi-point gestures observed.</t>
        </is>
      </c>
      <c r="I13" s="23" t="inlineStr">
        <is>
          <t>-</t>
        </is>
      </c>
      <c r="J13" s="15">
        <f>E13*G13</f>
        <v/>
      </c>
      <c r="K13" s="39" t="inlineStr">
        <is>
          <t>Applies as written; written with touch interfaces in mind from WCAG 2.1 onward.</t>
        </is>
      </c>
      <c r="L13" s="15">
        <f>IF(OR(F13="Pass",F13="Partial",F13="Fail"),1,0)</f>
        <v/>
      </c>
      <c r="M13" s="53" t="inlineStr">
        <is>
          <t>No action needed on current evidence.</t>
        </is>
      </c>
    </row>
    <row r="14">
      <c r="A14" s="29" t="inlineStr">
        <is>
          <t>2.5.2</t>
        </is>
      </c>
      <c r="B14" s="25" t="inlineStr">
        <is>
          <t>Pointer Cancellation</t>
        </is>
      </c>
      <c r="C14" s="13" t="inlineStr">
        <is>
          <t>A</t>
        </is>
      </c>
      <c r="D14" s="29" t="inlineStr">
        <is>
          <t>Operable</t>
        </is>
      </c>
      <c r="E14" s="42" t="n">
        <v>1</v>
      </c>
      <c r="F14" s="50" t="inlineStr">
        <is>
          <t>Not Tested</t>
        </is>
      </c>
      <c r="G14" s="29">
        <f>IF(F14="Pass",1,IF(F14="Partial",0.5,IF(F14="Fail",0,0)))</f>
        <v/>
      </c>
      <c r="H14" s="45" t="inlineStr">
        <is>
          <t>Requires manual down-event/up-event testing.</t>
        </is>
      </c>
      <c r="I14" s="42" t="inlineStr">
        <is>
          <t>-</t>
        </is>
      </c>
      <c r="J14" s="29">
        <f>E14*G14</f>
        <v/>
      </c>
      <c r="K14" s="46" t="inlineStr">
        <is>
          <t>Applies as written to native touch handling (down-event vs up-event activation).</t>
        </is>
      </c>
      <c r="L14" s="29">
        <f>IF(OR(F14="Pass",F14="Partial",F14="Fail"),1,0)</f>
        <v/>
      </c>
      <c r="M14" s="57" t="inlineStr">
        <is>
          <t>No fix to prescribe yet - conduct the manual test first to confirm actual status.</t>
        </is>
      </c>
    </row>
    <row r="15">
      <c r="A15" s="15" t="inlineStr">
        <is>
          <t>2.5.3</t>
        </is>
      </c>
      <c r="B15" s="11" t="inlineStr">
        <is>
          <t>Label in Name</t>
        </is>
      </c>
      <c r="C15" s="13" t="inlineStr">
        <is>
          <t>A</t>
        </is>
      </c>
      <c r="D15" s="15" t="inlineStr">
        <is>
          <t>Operable</t>
        </is>
      </c>
      <c r="E15" s="23" t="n">
        <v>2</v>
      </c>
      <c r="F15" s="43" t="inlineStr">
        <is>
          <t>Partial</t>
        </is>
      </c>
      <c r="G15" s="15">
        <f>IF(F15="Pass",1,IF(F15="Partial",0.5,IF(F15="Fail",0,0)))</f>
        <v/>
      </c>
      <c r="H15" s="34" t="inlineStr">
        <is>
          <t>15 cases of visible text not in the accessible name: filter-sheet 'All / Savings / Accounts' chips, 'Period', the date fields, the bank list, 'Existing banks' (S1-18/19, S2-4/10, S3-3).</t>
        </is>
      </c>
      <c r="I15" s="23" t="n">
        <v>15</v>
      </c>
      <c r="J15" s="15">
        <f>E15*G15</f>
        <v/>
      </c>
      <c r="K15" s="39" t="inlineStr">
        <is>
          <t>Applies as written: the programmatic accessible name must contain the visible label text so voice-control users can reference what they see.</t>
        </is>
      </c>
      <c r="L15" s="15">
        <f>IF(OR(F15="Pass",F15="Partial",F15="Fail"),1,0)</f>
        <v/>
      </c>
      <c r="M15" s="62" t="inlineStr">
        <is>
          <t>Make each chip's and list item's accessible name contain its visible text.</t>
        </is>
      </c>
    </row>
    <row r="16">
      <c r="A16" s="29" t="inlineStr">
        <is>
          <t>3.3.1</t>
        </is>
      </c>
      <c r="B16" s="25" t="inlineStr">
        <is>
          <t>Error Identification</t>
        </is>
      </c>
      <c r="C16" s="13" t="inlineStr">
        <is>
          <t>A</t>
        </is>
      </c>
      <c r="D16" s="29" t="inlineStr">
        <is>
          <t>Understandable</t>
        </is>
      </c>
      <c r="E16" s="42" t="n">
        <v>3</v>
      </c>
      <c r="F16" s="26" t="inlineStr">
        <is>
          <t>Partial</t>
        </is>
      </c>
      <c r="G16" s="29">
        <f>IF(F16="Pass",1,IF(F16="Partial",0.5,IF(F16="Fail",0,0)))</f>
        <v/>
      </c>
      <c r="H16" s="45" t="inlineStr">
        <is>
          <t>The same-account transfer error is identified in text ('Unable to Transfer between same account') (S1-7), but only as a transient orange top banner that covers the header, at 3.25:1 contrast. It is not tied to the field, and announcement was not confirmed.</t>
        </is>
      </c>
      <c r="I16" s="42" t="n">
        <v>1</v>
      </c>
      <c r="J16" s="29">
        <f>E16*G16</f>
        <v/>
      </c>
      <c r="K16" s="46" t="inlineStr">
        <is>
          <t>Applies as written; the error must be identified through the accessibility API (e.g. announced), not only shown visually.</t>
        </is>
      </c>
      <c r="L16" s="29">
        <f>IF(OR(F16="Pass",F16="Partial",F16="Fail"),1,0)</f>
        <v/>
      </c>
      <c r="M16" s="64" t="inlineStr">
        <is>
          <t>Announce errors through a live region, keep them on screen until dismissed, tie them to the relevant field, and raise the banner text contrast to 4.5:1.</t>
        </is>
      </c>
    </row>
    <row r="17">
      <c r="A17" s="15" t="inlineStr">
        <is>
          <t>3.3.2</t>
        </is>
      </c>
      <c r="B17" s="11" t="inlineStr">
        <is>
          <t>Labels or Instructions</t>
        </is>
      </c>
      <c r="C17" s="13" t="inlineStr">
        <is>
          <t>A</t>
        </is>
      </c>
      <c r="D17" s="15" t="inlineStr">
        <is>
          <t>Understandable</t>
        </is>
      </c>
      <c r="E17" s="23" t="n">
        <v>3</v>
      </c>
      <c r="F17" s="26" t="inlineStr">
        <is>
          <t>Partial</t>
        </is>
      </c>
      <c r="G17" s="15">
        <f>IF(F17="Pass",1,IF(F17="Partial",0.5,IF(F17="Fail",0,0)))</f>
        <v/>
      </c>
      <c r="H17" s="34" t="inlineStr">
        <is>
          <t>Remark and 'Name or phone number' use floating labels that persist (S1-6/7, S1-9). The amount field has no label, only a greyed ₦ prefix (S1-5/6). The history search field is flagged unlabelled.</t>
        </is>
      </c>
      <c r="I17" s="23" t="n">
        <v>2</v>
      </c>
      <c r="J17" s="15">
        <f>E17*G17</f>
        <v/>
      </c>
      <c r="K17" s="39" t="inlineStr">
        <is>
          <t>Applies as written; WCAG2ICT notes placeholder-only text that disappears on input/focus is a common native-software failure mode of this criterion.</t>
        </is>
      </c>
      <c r="L17" s="15">
        <f>IF(OR(F17="Pass",F17="Partial",F17="Fail"),1,0)</f>
        <v/>
      </c>
      <c r="M17" s="41" t="inlineStr">
        <is>
          <t>Add a persistent 'Amount' label to the amount field and a label to the history search field.</t>
        </is>
      </c>
    </row>
    <row r="18">
      <c r="A18" s="29" t="inlineStr">
        <is>
          <t>3.3.9</t>
        </is>
      </c>
      <c r="B18" s="25" t="inlineStr">
        <is>
          <t>Redundant Entry</t>
        </is>
      </c>
      <c r="C18" s="13" t="inlineStr">
        <is>
          <t>A</t>
        </is>
      </c>
      <c r="D18" s="29" t="inlineStr">
        <is>
          <t>Understandable</t>
        </is>
      </c>
      <c r="E18" s="42" t="n">
        <v>1</v>
      </c>
      <c r="F18" s="50" t="inlineStr">
        <is>
          <t>Not Tested</t>
        </is>
      </c>
      <c r="G18" s="29">
        <f>IF(F18="Pass",1,IF(F18="Partial",0.5,IF(F18="Fail",0,0)))</f>
        <v/>
      </c>
      <c r="H18" s="45" t="inlineStr">
        <is>
          <t>Requires manual walkthrough. Positive signals: 'All / Saved / Contacts' beneficiary tabs, search by name / phone / account, 'Your phone number' shortcut for airtime (S1-2, S1-9, S3-1).</t>
        </is>
      </c>
      <c r="I18" s="42" t="inlineStr">
        <is>
          <t>-</t>
        </is>
      </c>
      <c r="J18" s="29">
        <f>E18*G18</f>
        <v/>
      </c>
      <c r="K18" s="46" t="inlineStr">
        <is>
          <t>Applies as written; added in WCAG 2.2 with no web-specific terms.</t>
        </is>
      </c>
      <c r="L18" s="29">
        <f>IF(OR(F18="Pass",F18="Partial",F18="Fail"),1,0)</f>
        <v/>
      </c>
      <c r="M18" s="57" t="inlineStr">
        <is>
          <t>No fix to prescribe yet - conduct the manual test first to confirm actual status.</t>
        </is>
      </c>
    </row>
    <row r="19">
      <c r="A19" s="15" t="inlineStr">
        <is>
          <t>1.3.5</t>
        </is>
      </c>
      <c r="B19" s="11" t="inlineStr">
        <is>
          <t>Identify Input Purpose</t>
        </is>
      </c>
      <c r="C19" s="48" t="inlineStr">
        <is>
          <t>AA</t>
        </is>
      </c>
      <c r="D19" s="15" t="inlineStr">
        <is>
          <t>Perceivable</t>
        </is>
      </c>
      <c r="E19" s="23" t="n">
        <v>2</v>
      </c>
      <c r="F19" s="50" t="inlineStr">
        <is>
          <t>Not Tested</t>
        </is>
      </c>
      <c r="G19" s="15">
        <f>IF(F19="Pass",1,IF(F19="Partial",0.5,IF(F19="Fail",0,0)))</f>
        <v/>
      </c>
      <c r="H19" s="34" t="inlineStr">
        <is>
          <t>Requires manual check: do fields like phone number / amount expose a standard input type so OS-level autofill can offer to complete them?</t>
        </is>
      </c>
      <c r="I19" s="23" t="inlineStr">
        <is>
          <t>-</t>
        </is>
      </c>
      <c r="J19" s="15">
        <f>E19*G19</f>
        <v/>
      </c>
      <c r="K19" s="39" t="inlineStr">
        <is>
          <t>'Input purpose... can be programmatically determined' maps to using standard platform input types/autofill hints (e.g. Android autofillHints) rather than a generic text field.</t>
        </is>
      </c>
      <c r="L19" s="15">
        <f>IF(OR(F19="Pass",F19="Partial",F19="Fail"),1,0)</f>
        <v/>
      </c>
      <c r="M19" s="53" t="inlineStr">
        <is>
          <t>No fix to prescribe yet - conduct the manual test first to confirm actual status.</t>
        </is>
      </c>
    </row>
    <row r="20">
      <c r="A20" s="29" t="inlineStr">
        <is>
          <t>3.2.1</t>
        </is>
      </c>
      <c r="B20" s="25" t="inlineStr">
        <is>
          <t>On Focus</t>
        </is>
      </c>
      <c r="C20" s="13" t="inlineStr">
        <is>
          <t>A</t>
        </is>
      </c>
      <c r="D20" s="29" t="inlineStr">
        <is>
          <t>Operable</t>
        </is>
      </c>
      <c r="E20" s="42" t="n">
        <v>2</v>
      </c>
      <c r="F20" s="50" t="inlineStr">
        <is>
          <t>Not Tested</t>
        </is>
      </c>
      <c r="G20" s="29">
        <f>IF(F20="Pass",1,IF(F20="Partial",0.5,IF(F20="Fail",0,0)))</f>
        <v/>
      </c>
      <c r="H20" s="45" t="inlineStr">
        <is>
          <t>Requires manual check: does simply moving focus onto a field (without activating it) ever trigger a navigation or submission?</t>
        </is>
      </c>
      <c r="I20" s="42" t="inlineStr">
        <is>
          <t>-</t>
        </is>
      </c>
      <c r="J20" s="29">
        <f>E20*G20</f>
        <v/>
      </c>
      <c r="K20" s="46" t="inlineStr">
        <is>
          <t>Applies as written; on native software this covers focus changes triggered by the accessibility cursor, not only literal keyboard focus.</t>
        </is>
      </c>
      <c r="L20" s="29">
        <f>IF(OR(F20="Pass",F20="Partial",F20="Fail"),1,0)</f>
        <v/>
      </c>
      <c r="M20" s="57" t="inlineStr">
        <is>
          <t>No fix to prescribe yet - conduct the manual test first to confirm actual status.</t>
        </is>
      </c>
    </row>
    <row r="21" ht="15.75" customHeight="1" s="78">
      <c r="A21" s="15" t="inlineStr">
        <is>
          <t>3.2.2</t>
        </is>
      </c>
      <c r="B21" s="11" t="inlineStr">
        <is>
          <t>On Input</t>
        </is>
      </c>
      <c r="C21" s="13" t="inlineStr">
        <is>
          <t>A</t>
        </is>
      </c>
      <c r="D21" s="15" t="inlineStr">
        <is>
          <t>Operable</t>
        </is>
      </c>
      <c r="E21" s="23" t="n">
        <v>2</v>
      </c>
      <c r="F21" s="50" t="inlineStr">
        <is>
          <t>Not Tested</t>
        </is>
      </c>
      <c r="G21" s="15">
        <f>IF(F21="Pass",1,IF(F21="Partial",0.5,IF(F21="Fail",0,0)))</f>
        <v/>
      </c>
      <c r="H21" s="34" t="inlineStr">
        <is>
          <t>Requires manual check: does changing a field's value (e.g. selecting MTN vs Airtel) ever submit or navigate without an explicit confirm action?</t>
        </is>
      </c>
      <c r="I21" s="23" t="inlineStr">
        <is>
          <t>-</t>
        </is>
      </c>
      <c r="J21" s="15">
        <f>E21*G21</f>
        <v/>
      </c>
      <c r="K21" s="39" t="inlineStr">
        <is>
          <t>Applies as written; important on forms with toggles/selectors (network, Self/Other) that a screen-reader user changes one at a time.</t>
        </is>
      </c>
      <c r="L21" s="15">
        <f>IF(OR(F21="Pass",F21="Partial",F21="Fail"),1,0)</f>
        <v/>
      </c>
      <c r="M21" s="53" t="inlineStr">
        <is>
          <t>No fix to prescribe yet - conduct the manual test first to confirm actual status.</t>
        </is>
      </c>
    </row>
    <row r="22" ht="15.75" customHeight="1" s="78">
      <c r="A22" s="29" t="inlineStr">
        <is>
          <t>4.1.2</t>
        </is>
      </c>
      <c r="B22" s="25" t="inlineStr">
        <is>
          <t>Name, Role, Value</t>
        </is>
      </c>
      <c r="C22" s="13" t="inlineStr">
        <is>
          <t>A</t>
        </is>
      </c>
      <c r="D22" s="29" t="inlineStr">
        <is>
          <t>Robust</t>
        </is>
      </c>
      <c r="E22" s="42" t="n">
        <v>3</v>
      </c>
      <c r="F22" s="26" t="inlineStr">
        <is>
          <t>Fail</t>
        </is>
      </c>
      <c r="G22" s="29">
        <f>IF(F22="Pass",1,IF(F22="Partial",0.5,IF(F22="Fail",0,0)))</f>
        <v/>
      </c>
      <c r="H22" s="45" t="inlineStr">
        <is>
          <t>51 controls with no accessible name, plus 4 duplicate-description findings (the calendar buttons announce only 'not checked').</t>
        </is>
      </c>
      <c r="I22" s="42" t="n">
        <v>55</v>
      </c>
      <c r="J22" s="29">
        <f>E22*G22</f>
        <v/>
      </c>
      <c r="K22" s="46" t="inlineStr">
        <is>
          <t>This is the core native-software criterion in WCAG2ICT: 'name, role, value' maps directly to what a platform accessibility API exposes for each control - exactly what Google Accessibility Scanner tests.</t>
        </is>
      </c>
      <c r="L22" s="29">
        <f>IF(OR(F22="Pass",F22="Partial",F22="Fail"),1,0)</f>
        <v/>
      </c>
      <c r="M22" s="64" t="inlineStr">
        <is>
          <t>Fix the unlabelled controls (see 1.1.1). Give the calendar buttons a button role and a distinct name instead of a checkbox-like 'not checked' state.</t>
        </is>
      </c>
    </row>
    <row r="23" ht="15.75" customHeight="1" s="78">
      <c r="A23" s="15" t="inlineStr">
        <is>
          <t>1.4.3</t>
        </is>
      </c>
      <c r="B23" s="11" t="inlineStr">
        <is>
          <t>Contrast (Minimum)</t>
        </is>
      </c>
      <c r="C23" s="48" t="inlineStr">
        <is>
          <t>AA</t>
        </is>
      </c>
      <c r="D23" s="15" t="inlineStr">
        <is>
          <t>Perceivable</t>
        </is>
      </c>
      <c r="E23" s="23" t="n">
        <v>1</v>
      </c>
      <c r="F23" s="26" t="inlineStr">
        <is>
          <t>Fail</t>
        </is>
      </c>
      <c r="G23" s="15">
        <f>IF(F23="Pass",1,IF(F23="Partial",0.5,IF(F23="Fail",0,0)))</f>
        <v/>
      </c>
      <c r="H23" s="34" t="inlineStr">
        <is>
          <t>33 text-contrast failures, 18 below 2:1. Recurring: white on the orange #FB5622 buttons (Send, Submit, Apply, Done) and the error banner at 3.25:1. Worst results (1.01-1.33) are text behind the keyboard or loader dim, likely capture artefacts. Avatar initials 3.7:1. 'Transfer success rate' 3.05:1.</t>
        </is>
      </c>
      <c r="I23" s="23" t="n">
        <v>33</v>
      </c>
      <c r="J23" s="15">
        <f>E23*G23</f>
        <v/>
      </c>
      <c r="K23" s="39" t="inlineStr">
        <is>
          <t>Applies as written; 'text' includes native UI labels, not only web text.</t>
        </is>
      </c>
      <c r="L23" s="15">
        <f>IF(OR(F23="Pass",F23="Partial",F23="Fail"),1,0)</f>
        <v/>
      </c>
      <c r="M23" s="41" t="inlineStr">
        <is>
          <t>Darken the brand orange behind white text (or use dark text on orange) to reach 4.5:1 on all primary buttons and the error banner.</t>
        </is>
      </c>
    </row>
    <row r="24" ht="15.75" customHeight="1" s="78">
      <c r="A24" s="29" t="inlineStr">
        <is>
          <t>1.4.4</t>
        </is>
      </c>
      <c r="B24" s="25" t="inlineStr">
        <is>
          <t>Resize Text</t>
        </is>
      </c>
      <c r="C24" s="48" t="inlineStr">
        <is>
          <t>AA</t>
        </is>
      </c>
      <c r="D24" s="29" t="inlineStr">
        <is>
          <t>Perceivable</t>
        </is>
      </c>
      <c r="E24" s="42" t="n">
        <v>1</v>
      </c>
      <c r="F24" s="50" t="inlineStr">
        <is>
          <t>Partial</t>
        </is>
      </c>
      <c r="G24" s="29">
        <f>IF(F24="Pass",1,IF(F24="Partial",0.5,IF(F24="Fail",0,0)))</f>
        <v/>
      </c>
      <c r="H24" s="45" t="inlineStr">
        <is>
          <t>1 fixed-height container with scalable text flagged: the error banner region (S1-7). Other text scaling not tested.</t>
        </is>
      </c>
      <c r="I24" s="42" t="n">
        <v>1</v>
      </c>
      <c r="J24" s="29">
        <f>E24*G24</f>
        <v/>
      </c>
      <c r="K24" s="46" t="inlineStr">
        <is>
          <t>Applies with a platform-specific mechanism: resizing happens via the OS text-scale setting rather than browser zoom.</t>
        </is>
      </c>
      <c r="L24" s="29">
        <f>IF(OR(F24="Pass",F24="Partial",F24="Fail"),1,0)</f>
        <v/>
      </c>
      <c r="M24" s="57" t="inlineStr">
        <is>
          <t>Let the error banner grow with the text, then verify at 200% font size.</t>
        </is>
      </c>
    </row>
    <row r="25" ht="15.75" customHeight="1" s="78">
      <c r="A25" s="15" t="inlineStr">
        <is>
          <t>1.4.10</t>
        </is>
      </c>
      <c r="B25" s="11" t="inlineStr">
        <is>
          <t>Reflow</t>
        </is>
      </c>
      <c r="C25" s="48" t="inlineStr">
        <is>
          <t>AA</t>
        </is>
      </c>
      <c r="D25" s="15" t="inlineStr">
        <is>
          <t>Perceivable</t>
        </is>
      </c>
      <c r="E25" s="23" t="n">
        <v>1</v>
      </c>
      <c r="F25" s="50" t="inlineStr">
        <is>
          <t>Not Tested</t>
        </is>
      </c>
      <c r="G25" s="15">
        <f>IF(F25="Pass",1,IF(F25="Partial",0.5,IF(F25="Fail",0,0)))</f>
        <v/>
      </c>
      <c r="H25" s="34" t="inlineStr">
        <is>
          <t>Requires manual OS font-scaling / zoom test.</t>
        </is>
      </c>
      <c r="I25" s="23" t="inlineStr">
        <is>
          <t>-</t>
        </is>
      </c>
      <c r="J25" s="15">
        <f>E25*G25</f>
        <v/>
      </c>
      <c r="K25" s="39" t="inlineStr">
        <is>
          <t>WCAG2ICT notes this applies where the software supports resizing/zoom; if the app has no zoom/scale feature at all, evaluate against the OS-level scaling it does support.</t>
        </is>
      </c>
      <c r="L25" s="15">
        <f>IF(OR(F25="Pass",F25="Partial",F25="Fail"),1,0)</f>
        <v/>
      </c>
      <c r="M25" s="53" t="inlineStr">
        <is>
          <t>No fix to prescribe yet - conduct the manual test first to confirm actual status.</t>
        </is>
      </c>
    </row>
    <row r="26" ht="15.75" customHeight="1" s="78">
      <c r="A26" s="29" t="inlineStr">
        <is>
          <t>1.4.11</t>
        </is>
      </c>
      <c r="B26" s="25" t="inlineStr">
        <is>
          <t>Non-text Contrast</t>
        </is>
      </c>
      <c r="C26" s="48" t="inlineStr">
        <is>
          <t>AA</t>
        </is>
      </c>
      <c r="D26" s="29" t="inlineStr">
        <is>
          <t>Perceivable</t>
        </is>
      </c>
      <c r="E26" s="42" t="n">
        <v>2</v>
      </c>
      <c r="F26" s="26" t="inlineStr">
        <is>
          <t>Fail</t>
        </is>
      </c>
      <c r="G26" s="29">
        <f>IF(F26="Pass",1,IF(F26="Partial",0.5,IF(F26="Fail",0,0)))</f>
        <v/>
      </c>
      <c r="H26" s="45" t="inlineStr">
        <is>
          <t>14 image-contrast failures, 6 below 2:1: the Investments banner icon (#3C7D30 on #F9829E, 2.09:1) and dark-theme icons (#30323B on #202229).</t>
        </is>
      </c>
      <c r="I26" s="42" t="n">
        <v>14</v>
      </c>
      <c r="J26" s="29">
        <f>E26*G26</f>
        <v/>
      </c>
      <c r="K26" s="46" t="inlineStr">
        <is>
          <t>Applies as written to native icons and UI component boundaries.</t>
        </is>
      </c>
      <c r="L26" s="29">
        <f>IF(OR(F26="Pass",F26="Partial",F26="Fail"),1,0)</f>
        <v/>
      </c>
      <c r="M26" s="64" t="inlineStr">
        <is>
          <t>Raise the dark-theme icon colours to at least 3:1 against #202229.</t>
        </is>
      </c>
    </row>
    <row r="27" ht="15.75" customHeight="1" s="78">
      <c r="A27" s="15" t="inlineStr">
        <is>
          <t>2.4.6</t>
        </is>
      </c>
      <c r="B27" s="11" t="inlineStr">
        <is>
          <t>Headings and Labels</t>
        </is>
      </c>
      <c r="C27" s="48" t="inlineStr">
        <is>
          <t>AA</t>
        </is>
      </c>
      <c r="D27" s="15" t="inlineStr">
        <is>
          <t>Operable</t>
        </is>
      </c>
      <c r="E27" s="23" t="n">
        <v>1</v>
      </c>
      <c r="F27" s="54" t="inlineStr">
        <is>
          <t>Pass</t>
        </is>
      </c>
      <c r="G27" s="15">
        <f>IF(F27="Pass",1,IF(F27="Partial",0.5,IF(F27="Fail",0,0)))</f>
        <v/>
      </c>
      <c r="H27" s="34" t="inlineStr">
        <is>
          <t>Descriptive titles ('Search beneficiaries', 'Buy airtime', 'Transaction history', 'Filter', 'Account information'). The transfer screen is titled with the recipient's name rather than the task (S1-5).</t>
        </is>
      </c>
      <c r="I27" s="23" t="inlineStr">
        <is>
          <t>-</t>
        </is>
      </c>
      <c r="J27" s="15">
        <f>E27*G27</f>
        <v/>
      </c>
      <c r="K27" s="39" t="inlineStr">
        <is>
          <t>'Web page' -&gt; 'screen/view'; each screen and section needs a descriptive, programmatically exposed title/heading.</t>
        </is>
      </c>
      <c r="L27" s="15">
        <f>IF(OR(F27="Pass",F27="Partial",F27="Fail"),1,0)</f>
        <v/>
      </c>
      <c r="M27" s="53" t="inlineStr">
        <is>
          <t>Optionally title the transfer screen 'Transfer to [name]'.</t>
        </is>
      </c>
    </row>
    <row r="28" ht="15.75" customHeight="1" s="78">
      <c r="A28" s="29" t="inlineStr">
        <is>
          <t>2.4.7</t>
        </is>
      </c>
      <c r="B28" s="25" t="inlineStr">
        <is>
          <t>Focus Visible</t>
        </is>
      </c>
      <c r="C28" s="48" t="inlineStr">
        <is>
          <t>AA</t>
        </is>
      </c>
      <c r="D28" s="29" t="inlineStr">
        <is>
          <t>Operable</t>
        </is>
      </c>
      <c r="E28" s="42" t="n">
        <v>1</v>
      </c>
      <c r="F28" s="50" t="inlineStr">
        <is>
          <t>Not Tested</t>
        </is>
      </c>
      <c r="G28" s="29">
        <f>IF(F28="Pass",1,IF(F28="Partial",0.5,IF(F28="Fail",0,0)))</f>
        <v/>
      </c>
      <c r="H28" s="45" t="inlineStr">
        <is>
          <t>Requires manual keyboard/switch focus-indicator testing.</t>
        </is>
      </c>
      <c r="I28" s="42" t="inlineStr">
        <is>
          <t>-</t>
        </is>
      </c>
      <c r="J28" s="29">
        <f>E28*G28</f>
        <v/>
      </c>
      <c r="K28" s="46" t="inlineStr">
        <is>
          <t>Applies where the platform supports a visible focus indicator (external keyboard, Switch Access, D-pad); not exercised by pure touch/screen-reader use, so needs manual testing on the relevant input mode.</t>
        </is>
      </c>
      <c r="L28" s="29">
        <f>IF(OR(F28="Pass",F28="Partial",F28="Fail"),1,0)</f>
        <v/>
      </c>
      <c r="M28" s="57" t="inlineStr">
        <is>
          <t>No fix to prescribe yet - conduct the manual test first to confirm actual status.</t>
        </is>
      </c>
    </row>
    <row r="29" ht="15.75" customHeight="1" s="78">
      <c r="A29" s="15" t="inlineStr">
        <is>
          <t>2.5.8</t>
        </is>
      </c>
      <c r="B29" s="11" t="inlineStr">
        <is>
          <t>Target Size (Minimum, 24x24px)</t>
        </is>
      </c>
      <c r="C29" s="48" t="inlineStr">
        <is>
          <t>AA</t>
        </is>
      </c>
      <c r="D29" s="15" t="inlineStr">
        <is>
          <t>Operable</t>
        </is>
      </c>
      <c r="E29" s="23" t="n">
        <v>2</v>
      </c>
      <c r="F29" s="43" t="inlineStr">
        <is>
          <t>Partial</t>
        </is>
      </c>
      <c r="G29" s="15">
        <f>IF(F29="Pass",1,IF(F29="Partial",0.5,IF(F29="Fail",0,0)))</f>
        <v/>
      </c>
      <c r="H29" s="34" t="inlineStr">
        <is>
          <t>126 targets flagged. 19 (15%) are below 24dp, including the balance eye at 16x20dp, clear-search X and small chips. Most are 29-40dp.</t>
        </is>
      </c>
      <c r="I29" s="23" t="n">
        <v>126</v>
      </c>
      <c r="J29" s="15">
        <f>E29*G29</f>
        <v/>
      </c>
      <c r="K29" s="39" t="inlineStr">
        <is>
          <t>Applies as written to native touch targets; note platform guidance (Android 48dp, Apple 44pt) is stricter than WCAG's own 24px floor - both are reported here.</t>
        </is>
      </c>
      <c r="L29" s="15">
        <f>IF(OR(F29="Pass",F29="Partial",F29="Fail"),1,0)</f>
        <v/>
      </c>
      <c r="M29" s="62" t="inlineStr">
        <is>
          <t>Enlarge the balance eye (16x20dp) and the other sub-24dp controls to at least 24dp, ideally 48dp.</t>
        </is>
      </c>
    </row>
    <row r="30" ht="15.75" customHeight="1" s="78">
      <c r="A30" s="29" t="inlineStr">
        <is>
          <t>3.2.4</t>
        </is>
      </c>
      <c r="B30" s="25" t="inlineStr">
        <is>
          <t>Consistent Identification</t>
        </is>
      </c>
      <c r="C30" s="48" t="inlineStr">
        <is>
          <t>AA</t>
        </is>
      </c>
      <c r="D30" s="29" t="inlineStr">
        <is>
          <t>Understandable</t>
        </is>
      </c>
      <c r="E30" s="42" t="n">
        <v>0</v>
      </c>
      <c r="F30" s="65" t="inlineStr">
        <is>
          <t>N/A</t>
        </is>
      </c>
      <c r="G30" s="29">
        <f>IF(F30="Pass",1,IF(F30="Partial",0.5,IF(F30="Fail",0,0)))</f>
        <v/>
      </c>
      <c r="H30" s="45" t="inlineStr">
        <is>
          <t>Excluded per Section 508 and EN 301 549, which both state (building on WCAG2ICT) that this criterion does not apply to non-web software. Retained here as a visible N/A rather than silently dropped.</t>
        </is>
      </c>
      <c r="I30" s="42" t="inlineStr">
        <is>
          <t>-</t>
        </is>
      </c>
      <c r="J30" s="29">
        <f>E30*G30</f>
        <v/>
      </c>
      <c r="K30" s="46" t="inlineStr">
        <is>
          <t>Explicitly excluded for non-web software by Section 508 and EN 301 549 - not scored.</t>
        </is>
      </c>
      <c r="L30" s="29">
        <f>IF(OR(F30="Pass",F30="Partial",F30="Fail"),1,0)</f>
        <v/>
      </c>
      <c r="M30" s="57" t="inlineStr">
        <is>
          <t>Not applicable - excluded for non-web software.</t>
        </is>
      </c>
    </row>
    <row r="31" ht="15.75" customHeight="1" s="78">
      <c r="A31" s="15" t="inlineStr">
        <is>
          <t>3.3.3</t>
        </is>
      </c>
      <c r="B31" s="11" t="inlineStr">
        <is>
          <t>Error Suggestion</t>
        </is>
      </c>
      <c r="C31" s="48" t="inlineStr">
        <is>
          <t>AA</t>
        </is>
      </c>
      <c r="D31" s="15" t="inlineStr">
        <is>
          <t>Understandable</t>
        </is>
      </c>
      <c r="E31" s="23" t="n">
        <v>1</v>
      </c>
      <c r="F31" s="50" t="inlineStr">
        <is>
          <t>Not Tested</t>
        </is>
      </c>
      <c r="G31" s="15">
        <f>IF(F31="Pass",1,IF(F31="Partial",0.5,IF(F31="Fail",0,0)))</f>
        <v/>
      </c>
      <c r="H31" s="34" t="inlineStr">
        <is>
          <t>Requires manual review of validation-message wording and exposure.</t>
        </is>
      </c>
      <c r="I31" s="23" t="inlineStr">
        <is>
          <t>-</t>
        </is>
      </c>
      <c r="J31" s="15">
        <f>E31*G31</f>
        <v/>
      </c>
      <c r="K31" s="39" t="inlineStr">
        <is>
          <t>Applies as written.</t>
        </is>
      </c>
      <c r="L31" s="15">
        <f>IF(OR(F31="Pass",F31="Partial",F31="Fail"),1,0)</f>
        <v/>
      </c>
      <c r="M31" s="53" t="inlineStr">
        <is>
          <t>No fix to prescribe yet - conduct the manual test first to confirm actual status.</t>
        </is>
      </c>
    </row>
    <row r="32" ht="15.75" customHeight="1" s="78">
      <c r="A32" s="29" t="inlineStr">
        <is>
          <t>3.3.4</t>
        </is>
      </c>
      <c r="B32" s="25" t="inlineStr">
        <is>
          <t>Error Prevention (Legal, Financial, Data)</t>
        </is>
      </c>
      <c r="C32" s="48" t="inlineStr">
        <is>
          <t>AA</t>
        </is>
      </c>
      <c r="D32" s="29" t="inlineStr">
        <is>
          <t>Understandable</t>
        </is>
      </c>
      <c r="E32" s="42" t="n">
        <v>3</v>
      </c>
      <c r="F32" s="43" t="inlineStr">
        <is>
          <t>Partial</t>
        </is>
      </c>
      <c r="G32" s="29">
        <f>IF(F32="Pass",1,IF(F32="Partial",0.5,IF(F32="Fail",0,0)))</f>
        <v/>
      </c>
      <c r="H32" s="45" t="inlineStr">
        <is>
          <t>Airtime went from Submit (S2-6) straight to a spinner and a success sheet (S2-8), with no review step or PIN captured. Inputs are checked (the same-account transfer is blocked with an error), and the success sheet restates the amount and number. A transfer review step was not reached.</t>
        </is>
      </c>
      <c r="I32" s="42" t="inlineStr">
        <is>
          <t>-</t>
        </is>
      </c>
      <c r="J32" s="29">
        <f>E32*G32</f>
        <v/>
      </c>
      <c r="K32" s="46" t="inlineStr">
        <is>
          <t>Applies as written and is squarely about transactions ('legal commitments, financial transactions'); directly relevant to this app's core function.</t>
        </is>
      </c>
      <c r="L32" s="29">
        <f>IF(OR(F32="Pass",F32="Partial",F32="Fail"),1,0)</f>
        <v/>
      </c>
      <c r="M32" s="47" t="inlineStr">
        <is>
          <t>Add an accessible review screen (recipient, amount, fee) before any irreversible debit, including airtime.</t>
        </is>
      </c>
    </row>
    <row r="33" ht="15.75" customHeight="1" s="78">
      <c r="A33" s="15" t="inlineStr">
        <is>
          <t>3.3.7</t>
        </is>
      </c>
      <c r="B33" s="11" t="inlineStr">
        <is>
          <t>Accessible Authentication (Minimum)</t>
        </is>
      </c>
      <c r="C33" s="48" t="inlineStr">
        <is>
          <t>AA</t>
        </is>
      </c>
      <c r="D33" s="15" t="inlineStr">
        <is>
          <t>Understandable</t>
        </is>
      </c>
      <c r="E33" s="23" t="n">
        <v>3</v>
      </c>
      <c r="F33" s="26" t="inlineStr">
        <is>
          <t>Not Tested</t>
        </is>
      </c>
      <c r="G33" s="15">
        <f>IF(F33="Pass",1,IF(F33="Partial",0.5,IF(F33="Fail",0,0)))</f>
        <v/>
      </c>
      <c r="H33" s="34" t="inlineStr">
        <is>
          <t>No login screen was captured.</t>
        </is>
      </c>
      <c r="I33" s="23" t="inlineStr">
        <is>
          <t>-</t>
        </is>
      </c>
      <c r="J33" s="15">
        <f>E33*G33</f>
        <v/>
      </c>
      <c r="K33" s="39" t="inlineStr">
        <is>
          <t>Applies as written; added in WCAG 2.2 with no web-specific terms to reinterpret.</t>
        </is>
      </c>
      <c r="L33" s="15">
        <f>IF(OR(F33="Pass",F33="Partial",F33="Fail"),1,0)</f>
        <v/>
      </c>
      <c r="M33" s="41" t="inlineStr">
        <is>
          <t>No fix to prescribe yet - conduct the manual test first to confirm actual status.</t>
        </is>
      </c>
    </row>
    <row r="34" ht="15.75" customHeight="1" s="78">
      <c r="A34" s="29" t="inlineStr">
        <is>
          <t>4.1.3</t>
        </is>
      </c>
      <c r="B34" s="25" t="inlineStr">
        <is>
          <t>Status Messages</t>
        </is>
      </c>
      <c r="C34" s="48" t="inlineStr">
        <is>
          <t>AA</t>
        </is>
      </c>
      <c r="D34" s="29" t="inlineStr">
        <is>
          <t>Robust</t>
        </is>
      </c>
      <c r="E34" s="42" t="n">
        <v>3</v>
      </c>
      <c r="F34" s="50" t="inlineStr">
        <is>
          <t>Not Tested</t>
        </is>
      </c>
      <c r="G34" s="29">
        <f>IF(F34="Pass",1,IF(F34="Partial",0.5,IF(F34="Fail",0,0)))</f>
        <v/>
      </c>
      <c r="H34" s="45" t="inlineStr">
        <is>
          <t>Requires manual testing of transaction success/failure toast announcements.</t>
        </is>
      </c>
      <c r="I34" s="42" t="inlineStr">
        <is>
          <t>-</t>
        </is>
      </c>
      <c r="J34" s="29">
        <f>E34*G34</f>
        <v/>
      </c>
      <c r="K34" s="46" t="inlineStr">
        <is>
          <t>'Programmatically determined through role or properties' -&gt; exposed via the accessibility API's live-region/announcement mechanism (e.g. Android AccessibilityEvent) so a status change is spoken without moving focus.</t>
        </is>
      </c>
      <c r="L34" s="29">
        <f>IF(OR(F34="Pass",F34="Partial",F34="Fail"),1,0)</f>
        <v/>
      </c>
      <c r="M34" s="57" t="inlineStr">
        <is>
          <t>No fix to prescribe yet - conduct the manual test first to confirm actual status.</t>
        </is>
      </c>
    </row>
    <row r="35" ht="15.75" customHeight="1" s="78">
      <c r="A35" s="15" t="inlineStr">
        <is>
          <t>2.2.1</t>
        </is>
      </c>
      <c r="B35" s="11" t="inlineStr">
        <is>
          <t>Timing Adjustable</t>
        </is>
      </c>
      <c r="C35" s="13" t="inlineStr">
        <is>
          <t>A</t>
        </is>
      </c>
      <c r="D35" s="15" t="inlineStr">
        <is>
          <t>Operable</t>
        </is>
      </c>
      <c r="E35" s="23" t="n">
        <v>3</v>
      </c>
      <c r="F35" s="50" t="inlineStr">
        <is>
          <t>Not Tested</t>
        </is>
      </c>
      <c r="G35" s="15">
        <f>IF(F35="Pass",1,IF(F35="Partial",0.5,IF(F35="Fail",0,0)))</f>
        <v/>
      </c>
      <c r="H35" s="34" t="inlineStr">
        <is>
          <t>Requires manual test: can a screen-reader user extend/disable any time limit on OTP entry, session timeout, or transfer confirmation?</t>
        </is>
      </c>
      <c r="I35" s="23" t="inlineStr">
        <is>
          <t>-</t>
        </is>
      </c>
      <c r="J35" s="15">
        <f>E35*G35</f>
        <v/>
      </c>
      <c r="K35" s="39" t="inlineStr">
        <is>
          <t>Applies as written; particularly relevant to native software session timeouts and OTP countdown timers.</t>
        </is>
      </c>
      <c r="L35" s="15">
        <f>IF(OR(F35="Pass",F35="Partial",F35="Fail"),1,0)</f>
        <v/>
      </c>
      <c r="M35" s="53" t="inlineStr">
        <is>
          <t>No fix to prescribe yet - conduct the manual test first to confirm actual status.</t>
        </is>
      </c>
    </row>
    <row r="36" ht="15.75" customHeight="1" s="78">
      <c r="A36" s="29" t="inlineStr">
        <is>
          <t>2.2.6</t>
        </is>
      </c>
      <c r="B36" s="25" t="inlineStr">
        <is>
          <t>Timeouts (warn of data loss)</t>
        </is>
      </c>
      <c r="C36" s="50" t="inlineStr">
        <is>
          <t>AAA</t>
        </is>
      </c>
      <c r="D36" s="29" t="inlineStr">
        <is>
          <t>Operable</t>
        </is>
      </c>
      <c r="E36" s="42" t="n">
        <v>1</v>
      </c>
      <c r="F36" s="50" t="inlineStr">
        <is>
          <t>Not Tested</t>
        </is>
      </c>
      <c r="G36" s="29">
        <f>IF(F36="Pass",1,IF(F36="Partial",0.5,IF(F36="Fail",0,0)))</f>
        <v/>
      </c>
      <c r="H36" s="45" t="inlineStr">
        <is>
          <t>Requires manual test: is the user warned before a timed-out session discards an in-progress transaction?</t>
        </is>
      </c>
      <c r="I36" s="42" t="inlineStr">
        <is>
          <t>-</t>
        </is>
      </c>
      <c r="J36" s="29">
        <f>E36*G36</f>
        <v/>
      </c>
      <c r="K36" s="46" t="inlineStr">
        <is>
          <t>Applies as written.</t>
        </is>
      </c>
      <c r="L36" s="29">
        <f>IF(OR(F36="Pass",F36="Partial",F36="Fail"),1,0)</f>
        <v/>
      </c>
      <c r="M36" s="57" t="inlineStr">
        <is>
          <t>No fix to prescribe yet - conduct the manual test first to confirm actual status.</t>
        </is>
      </c>
    </row>
    <row r="37" ht="15.75" customHeight="1" s="78">
      <c r="A37" s="15" t="inlineStr">
        <is>
          <t>2.5.5</t>
        </is>
      </c>
      <c r="B37" s="11" t="inlineStr">
        <is>
          <t>Target Size (Enhanced, 44x44px)</t>
        </is>
      </c>
      <c r="C37" s="50" t="inlineStr">
        <is>
          <t>AAA</t>
        </is>
      </c>
      <c r="D37" s="15" t="inlineStr">
        <is>
          <t>Operable</t>
        </is>
      </c>
      <c r="E37" s="23" t="n">
        <v>1</v>
      </c>
      <c r="F37" s="26" t="inlineStr">
        <is>
          <t>Fail</t>
        </is>
      </c>
      <c r="G37" s="15">
        <f>IF(F37="Pass",1,IF(F37="Partial",0.5,IF(F37="Fail",0,0)))</f>
        <v/>
      </c>
      <c r="H37" s="34" t="inlineStr">
        <is>
          <t>110 of 126 flagged targets are below 44dp.</t>
        </is>
      </c>
      <c r="I37" s="23" t="n">
        <v>126</v>
      </c>
      <c r="J37" s="15">
        <f>E37*G37</f>
        <v/>
      </c>
      <c r="K37" s="39" t="inlineStr">
        <is>
          <t>Applies as written to native touch targets.</t>
        </is>
      </c>
      <c r="L37" s="15">
        <f>IF(OR(F37="Pass",F37="Partial",F37="Fail"),1,0)</f>
        <v/>
      </c>
      <c r="M37" s="41" t="inlineStr">
        <is>
          <t>Bring back / close, eye, avatar and filter controls to 44-48dp.</t>
        </is>
      </c>
    </row>
    <row r="38" ht="15.75" customHeight="1" s="78">
      <c r="A38" s="29" t="inlineStr">
        <is>
          <t>3.3.6</t>
        </is>
      </c>
      <c r="B38" s="25" t="inlineStr">
        <is>
          <t>Error Prevention (All)</t>
        </is>
      </c>
      <c r="C38" s="50" t="inlineStr">
        <is>
          <t>AAA</t>
        </is>
      </c>
      <c r="D38" s="29" t="inlineStr">
        <is>
          <t>Understandable</t>
        </is>
      </c>
      <c r="E38" s="42" t="n">
        <v>1</v>
      </c>
      <c r="F38" s="50" t="inlineStr">
        <is>
          <t>Not Tested</t>
        </is>
      </c>
      <c r="G38" s="29">
        <f>IF(F38="Pass",1,IF(F38="Partial",0.5,IF(F38="Fail",0,0)))</f>
        <v/>
      </c>
      <c r="H38" s="45" t="inlineStr">
        <is>
          <t>Requires manual review across all transactional flows.</t>
        </is>
      </c>
      <c r="I38" s="42" t="inlineStr">
        <is>
          <t>-</t>
        </is>
      </c>
      <c r="J38" s="29">
        <f>E38*G38</f>
        <v/>
      </c>
      <c r="K38" s="46" t="inlineStr">
        <is>
          <t>Applies as written.</t>
        </is>
      </c>
      <c r="L38" s="29">
        <f>IF(OR(F38="Pass",F38="Partial",F38="Fail"),1,0)</f>
        <v/>
      </c>
      <c r="M38" s="57" t="inlineStr">
        <is>
          <t>No fix to prescribe yet - conduct the manual test first to confirm actual status.</t>
        </is>
      </c>
    </row>
    <row r="39" ht="15.75" customHeight="1" s="78">
      <c r="A39" s="15" t="inlineStr">
        <is>
          <t>3.3.8</t>
        </is>
      </c>
      <c r="B39" s="11" t="inlineStr">
        <is>
          <t>Accessible Authentication (Enhanced)</t>
        </is>
      </c>
      <c r="C39" s="50" t="inlineStr">
        <is>
          <t>AAA</t>
        </is>
      </c>
      <c r="D39" s="15" t="inlineStr">
        <is>
          <t>Understandable</t>
        </is>
      </c>
      <c r="E39" s="23" t="n">
        <v>1</v>
      </c>
      <c r="F39" s="26" t="inlineStr">
        <is>
          <t>Not Tested</t>
        </is>
      </c>
      <c r="G39" s="15">
        <f>IF(F39="Pass",1,IF(F39="Partial",0.5,IF(F39="Fail",0,0)))</f>
        <v/>
      </c>
      <c r="H39" s="34" t="inlineStr">
        <is>
          <t>No login screen was captured.</t>
        </is>
      </c>
      <c r="I39" s="23" t="inlineStr">
        <is>
          <t>-</t>
        </is>
      </c>
      <c r="J39" s="15">
        <f>E39*G39</f>
        <v/>
      </c>
      <c r="K39" s="39" t="inlineStr">
        <is>
          <t>Applies as written; added in WCAG 2.2.</t>
        </is>
      </c>
      <c r="L39" s="15">
        <f>IF(OR(F39="Pass",F39="Partial",F39="Fail"),1,0)</f>
        <v/>
      </c>
      <c r="M39" s="41" t="inlineStr">
        <is>
          <t>No fix to prescribe yet - conduct the manual test first to confirm actual status.</t>
        </is>
      </c>
    </row>
    <row r="40" ht="15.75" customHeight="1" s="78"/>
    <row r="41" ht="15.75" customHeight="1" s="78">
      <c r="A41" s="91" t="inlineStr">
        <is>
          <t>SCORE SUMMARY</t>
        </is>
      </c>
      <c r="B41" s="92" t="n"/>
      <c r="C41" s="92" t="n"/>
      <c r="D41" s="92" t="n"/>
      <c r="E41" s="92" t="n"/>
      <c r="F41" s="93" t="n"/>
    </row>
    <row r="42" ht="15.75" customHeight="1" s="78">
      <c r="A42" s="94" t="inlineStr">
        <is>
          <t>Weighted score achieved (sum)</t>
        </is>
      </c>
      <c r="B42" s="92" t="n"/>
      <c r="C42" s="92" t="n"/>
      <c r="D42" s="93" t="n"/>
      <c r="E42" s="29">
        <f>SUM(J5:J39)</f>
        <v/>
      </c>
      <c r="F42" s="93" t="n"/>
    </row>
    <row r="43" ht="15.75" customHeight="1" s="78">
      <c r="A43" s="94" t="inlineStr">
        <is>
          <t>Weighted score possible (tested criteria only)</t>
        </is>
      </c>
      <c r="B43" s="92" t="n"/>
      <c r="C43" s="92" t="n"/>
      <c r="D43" s="93" t="n"/>
      <c r="E43" s="29">
        <f>SUMPRODUCT(L5:L39*E5:E39)</f>
        <v/>
      </c>
      <c r="F43" s="93" t="n"/>
    </row>
    <row r="44" ht="15.75" customHeight="1" s="78">
      <c r="A44" s="95" t="inlineStr">
        <is>
          <t>OVERALL ACCESSIBILITY SCORE (0-100)</t>
        </is>
      </c>
      <c r="B44" s="92" t="n"/>
      <c r="C44" s="92" t="n"/>
      <c r="D44" s="93" t="n"/>
      <c r="E44" s="96">
        <f>IFERROR(E42/E43*100,0)</f>
        <v/>
      </c>
      <c r="F44" s="93" t="n"/>
    </row>
    <row r="45" ht="15.75" customHeight="1" s="78">
      <c r="A45" s="94" t="inlineStr">
        <is>
          <t>Level A conformance %</t>
        </is>
      </c>
      <c r="B45" s="92" t="n"/>
      <c r="C45" s="92" t="n"/>
      <c r="D45" s="93" t="n"/>
      <c r="E45" s="97">
        <f>IFERROR(SUMPRODUCT((C5:C39="A")*L5:L39*J5:J39)/SUMPRODUCT((C5:C39="A")*L5:L39*E5:E39)*100,0)</f>
        <v/>
      </c>
      <c r="F45" s="93" t="n"/>
    </row>
    <row r="46" ht="15.75" customHeight="1" s="78">
      <c r="A46" s="94" t="inlineStr">
        <is>
          <t>Level AA conformance % (A+AA criteria)</t>
        </is>
      </c>
      <c r="B46" s="92" t="n"/>
      <c r="C46" s="92" t="n"/>
      <c r="D46" s="93" t="n"/>
      <c r="E46" s="97">
        <f>IFERROR(SUMPRODUCT(((C5:C39="A")+(C5:C39="AA"))*L5:L39*J5:J39)/SUMPRODUCT(((C5:C39="A")+(C5:C39="AA"))*L5:L39*E5:E39)*100,0)</f>
        <v/>
      </c>
      <c r="F46" s="93" t="n"/>
    </row>
    <row r="47" ht="15.75" customHeight="1" s="78">
      <c r="A47" s="94" t="inlineStr">
        <is>
          <t>Criteria rated Fail (count)</t>
        </is>
      </c>
      <c r="B47" s="92" t="n"/>
      <c r="C47" s="92" t="n"/>
      <c r="D47" s="93" t="n"/>
      <c r="E47" s="29">
        <f>COUNTIF(F5:F39,"Fail")</f>
        <v/>
      </c>
      <c r="F47" s="93" t="n"/>
    </row>
    <row r="48" ht="15.75" customHeight="1" s="78">
      <c r="A48" s="94" t="inlineStr">
        <is>
          <t>Criteria rated Not Tested / N/A (count, need manual audit)</t>
        </is>
      </c>
      <c r="B48" s="92" t="n"/>
      <c r="C48" s="92" t="n"/>
      <c r="D48" s="93" t="n"/>
      <c r="E48" s="29">
        <f>COUNTIF(F5:F39,"Not Tested")+COUNTIF(F5:F39,"N/A")</f>
        <v/>
      </c>
      <c r="F48" s="93" t="n"/>
    </row>
    <row r="49" ht="15.75" customHeight="1" s="78">
      <c r="A49" s="95" t="inlineStr">
        <is>
          <t>Rating band</t>
        </is>
      </c>
      <c r="B49" s="92" t="n"/>
      <c r="C49" s="92" t="n"/>
      <c r="D49" s="93" t="n"/>
      <c r="E49" s="22">
        <f>IF(E44&gt;=90,"Level AA-aligned",IF(E44&gt;=75,"Substantially accessible",IF(E44&gt;=50,"Partially accessible - significant barriers",IF(E44&gt;=25,"Largely inaccessible","Inaccessible / excludes blind users"))))</f>
        <v/>
      </c>
      <c r="F49" s="93" t="n"/>
    </row>
    <row r="50" ht="15.75" customHeight="1" s="78"/>
    <row r="51" ht="15.75" customHeight="1" s="78"/>
    <row r="52" ht="15.75" customHeight="1" s="78"/>
    <row r="53" ht="15.75" customHeight="1" s="78"/>
    <row r="54" ht="15.75" customHeight="1" s="78"/>
    <row r="55" ht="15.75" customHeight="1" s="78"/>
    <row r="56" ht="15.75" customHeight="1" s="78"/>
    <row r="57" ht="15.75" customHeight="1" s="78"/>
    <row r="58" ht="15.75" customHeight="1" s="78"/>
    <row r="59" ht="15.75" customHeight="1" s="78"/>
    <row r="60" ht="15.75" customHeight="1" s="78"/>
    <row r="61" ht="15.75" customHeight="1" s="78"/>
    <row r="62" ht="15.75" customHeight="1" s="78"/>
    <row r="63" ht="15.75" customHeight="1" s="78"/>
    <row r="64" ht="15.75" customHeight="1" s="78"/>
    <row r="65" ht="15.75" customHeight="1" s="78"/>
    <row r="66" ht="15.75" customHeight="1" s="78"/>
    <row r="67" ht="15.75" customHeight="1" s="78"/>
    <row r="68" ht="15.75" customHeight="1" s="78"/>
    <row r="69" ht="15.75" customHeight="1" s="78"/>
    <row r="70" ht="15.75" customHeight="1" s="78"/>
    <row r="71" ht="15.75" customHeight="1" s="78"/>
    <row r="72" ht="15.75" customHeight="1" s="78"/>
    <row r="73" ht="15.75" customHeight="1" s="78"/>
    <row r="74" ht="15.75" customHeight="1" s="78"/>
    <row r="75" ht="15.75" customHeight="1" s="78"/>
    <row r="76" ht="15.75" customHeight="1" s="78"/>
    <row r="77" ht="15.75" customHeight="1" s="78"/>
    <row r="78" ht="15.75" customHeight="1" s="78"/>
    <row r="79" ht="15.75" customHeight="1" s="78"/>
    <row r="80" ht="15.75" customHeight="1" s="78"/>
    <row r="81" ht="15.75" customHeight="1" s="78"/>
    <row r="82" ht="15.75" customHeight="1" s="78"/>
    <row r="83" ht="15.75" customHeight="1" s="78"/>
    <row r="84" ht="15.75" customHeight="1" s="78"/>
    <row r="85" ht="15.75" customHeight="1" s="78"/>
    <row r="86" ht="15.75" customHeight="1" s="78"/>
    <row r="87" ht="15.75" customHeight="1" s="78"/>
    <row r="88" ht="15.75" customHeight="1" s="78"/>
    <row r="89" ht="15.75" customHeight="1" s="78"/>
    <row r="90" ht="15.75" customHeight="1" s="78"/>
    <row r="91" ht="15.75" customHeight="1" s="78"/>
    <row r="92" ht="15.75" customHeight="1" s="78"/>
    <row r="93" ht="15.75" customHeight="1" s="78"/>
    <row r="94" ht="15.75" customHeight="1" s="78"/>
    <row r="95" ht="15.75" customHeight="1" s="78"/>
    <row r="96" ht="15.75" customHeight="1" s="78"/>
    <row r="97" ht="15.75" customHeight="1" s="78"/>
    <row r="98" ht="15.75" customHeight="1" s="78"/>
    <row r="99" ht="15.75" customHeight="1" s="78"/>
    <row r="100" ht="15.75" customHeight="1" s="78"/>
    <row r="101" ht="15.75" customHeight="1" s="78"/>
    <row r="102" ht="15.75" customHeight="1" s="78"/>
    <row r="103" ht="15.75" customHeight="1" s="78"/>
    <row r="104" ht="15.75" customHeight="1" s="78"/>
    <row r="105" ht="15.75" customHeight="1" s="78"/>
    <row r="106" ht="15.75" customHeight="1" s="78"/>
    <row r="107" ht="15.75" customHeight="1" s="78"/>
    <row r="108" ht="15.75" customHeight="1" s="78"/>
    <row r="109" ht="15.75" customHeight="1" s="78"/>
    <row r="110" ht="15.75" customHeight="1" s="78"/>
    <row r="111" ht="15.75" customHeight="1" s="78"/>
    <row r="112" ht="15.75" customHeight="1" s="78"/>
    <row r="113" ht="15.75" customHeight="1" s="78"/>
    <row r="114" ht="15.75" customHeight="1" s="78"/>
    <row r="115" ht="15.75" customHeight="1" s="78"/>
    <row r="116" ht="15.75" customHeight="1" s="78"/>
    <row r="117" ht="15.75" customHeight="1" s="78"/>
    <row r="118" ht="15.75" customHeight="1" s="78"/>
    <row r="119" ht="15.75" customHeight="1" s="78"/>
    <row r="120" ht="15.75" customHeight="1" s="78"/>
    <row r="121" ht="15.75" customHeight="1" s="78"/>
    <row r="122" ht="15.75" customHeight="1" s="78"/>
    <row r="123" ht="15.75" customHeight="1" s="78"/>
    <row r="124" ht="15.75" customHeight="1" s="78"/>
    <row r="125" ht="15.75" customHeight="1" s="78"/>
    <row r="126" ht="15.75" customHeight="1" s="78"/>
    <row r="127" ht="15.75" customHeight="1" s="78"/>
    <row r="128" ht="15.75" customHeight="1" s="78"/>
    <row r="129" ht="15.75" customHeight="1" s="78"/>
    <row r="130" ht="15.75" customHeight="1" s="78"/>
    <row r="131" ht="15.75" customHeight="1" s="78"/>
    <row r="132" ht="15.75" customHeight="1" s="78"/>
    <row r="133" ht="15.75" customHeight="1" s="78"/>
    <row r="134" ht="15.75" customHeight="1" s="78"/>
    <row r="135" ht="15.75" customHeight="1" s="78"/>
    <row r="136" ht="15.75" customHeight="1" s="78"/>
    <row r="137" ht="15.75" customHeight="1" s="78"/>
    <row r="138" ht="15.75" customHeight="1" s="78"/>
    <row r="139" ht="15.75" customHeight="1" s="78"/>
    <row r="140" ht="15.75" customHeight="1" s="78"/>
    <row r="141" ht="15.75" customHeight="1" s="78"/>
    <row r="142" ht="15.75" customHeight="1" s="78"/>
    <row r="143" ht="15.75" customHeight="1" s="78"/>
    <row r="144" ht="15.75" customHeight="1" s="78"/>
    <row r="145" ht="15.75" customHeight="1" s="78"/>
    <row r="146" ht="15.75" customHeight="1" s="78"/>
    <row r="147" ht="15.75" customHeight="1" s="78"/>
    <row r="148" ht="15.75" customHeight="1" s="78"/>
    <row r="149" ht="15.75" customHeight="1" s="78"/>
    <row r="150" ht="15.75" customHeight="1" s="78"/>
    <row r="151" ht="15.75" customHeight="1" s="78"/>
    <row r="152" ht="15.75" customHeight="1" s="78"/>
    <row r="153" ht="15.75" customHeight="1" s="78"/>
    <row r="154" ht="15.75" customHeight="1" s="78"/>
    <row r="155" ht="15.75" customHeight="1" s="78"/>
    <row r="156" ht="15.75" customHeight="1" s="78"/>
    <row r="157" ht="15.75" customHeight="1" s="78"/>
    <row r="158" ht="15.75" customHeight="1" s="78"/>
    <row r="159" ht="15.75" customHeight="1" s="78"/>
    <row r="160" ht="15.75" customHeight="1" s="78"/>
    <row r="161" ht="15.75" customHeight="1" s="78"/>
    <row r="162" ht="15.75" customHeight="1" s="78"/>
    <row r="163" ht="15.75" customHeight="1" s="78"/>
    <row r="164" ht="15.75" customHeight="1" s="78"/>
    <row r="165" ht="15.75" customHeight="1" s="78"/>
    <row r="166" ht="15.75" customHeight="1" s="78"/>
    <row r="167" ht="15.75" customHeight="1" s="78"/>
    <row r="168" ht="15.75" customHeight="1" s="78"/>
    <row r="169" ht="15.75" customHeight="1" s="78"/>
    <row r="170" ht="15.75" customHeight="1" s="78"/>
    <row r="171" ht="15.75" customHeight="1" s="78"/>
    <row r="172" ht="15.75" customHeight="1" s="78"/>
    <row r="173" ht="15.75" customHeight="1" s="78"/>
    <row r="174" ht="15.75" customHeight="1" s="78"/>
    <row r="175" ht="15.75" customHeight="1" s="78"/>
    <row r="176" ht="15.75" customHeight="1" s="78"/>
    <row r="177" ht="15.75" customHeight="1" s="78"/>
    <row r="178" ht="15.75" customHeight="1" s="78"/>
    <row r="179" ht="15.75" customHeight="1" s="78"/>
    <row r="180" ht="15.75" customHeight="1" s="78"/>
    <row r="181" ht="15.75" customHeight="1" s="78"/>
    <row r="182" ht="15.75" customHeight="1" s="78"/>
    <row r="183" ht="15.75" customHeight="1" s="78"/>
    <row r="184" ht="15.75" customHeight="1" s="78"/>
    <row r="185" ht="15.75" customHeight="1" s="78"/>
    <row r="186" ht="15.75" customHeight="1" s="78"/>
    <row r="187" ht="15.75" customHeight="1" s="78"/>
    <row r="188" ht="15.75" customHeight="1" s="78"/>
    <row r="189" ht="15.75" customHeight="1" s="78"/>
    <row r="190" ht="15.75" customHeight="1" s="78"/>
    <row r="191" ht="15.75" customHeight="1" s="78"/>
    <row r="192" ht="15.75" customHeight="1" s="78"/>
    <row r="193" ht="15.75" customHeight="1" s="78"/>
    <row r="194" ht="15.75" customHeight="1" s="78"/>
    <row r="195" ht="15.75" customHeight="1" s="78"/>
    <row r="196" ht="15.75" customHeight="1" s="78"/>
    <row r="197" ht="15.75" customHeight="1" s="78"/>
    <row r="198" ht="15.75" customHeight="1" s="78"/>
    <row r="199" ht="15.75" customHeight="1" s="78"/>
    <row r="200" ht="15.75" customHeight="1" s="78"/>
    <row r="201" ht="15.75" customHeight="1" s="78"/>
    <row r="202" ht="15.75" customHeight="1" s="78"/>
    <row r="203" ht="15.75" customHeight="1" s="78"/>
    <row r="204" ht="15.75" customHeight="1" s="78"/>
    <row r="205" ht="15.75" customHeight="1" s="78"/>
    <row r="206" ht="15.75" customHeight="1" s="78"/>
    <row r="207" ht="15.75" customHeight="1" s="78"/>
    <row r="208" ht="15.75" customHeight="1" s="78"/>
    <row r="209" ht="15.75" customHeight="1" s="78"/>
    <row r="210" ht="15.75" customHeight="1" s="78"/>
    <row r="211" ht="15.75" customHeight="1" s="78"/>
    <row r="212" ht="15.75" customHeight="1" s="78"/>
    <row r="213" ht="15.75" customHeight="1" s="78"/>
    <row r="214" ht="15.75" customHeight="1" s="78"/>
    <row r="215" ht="15.75" customHeight="1" s="78"/>
    <row r="216" ht="15.75" customHeight="1" s="78"/>
    <row r="217" ht="15.75" customHeight="1" s="78"/>
    <row r="218" ht="15.75" customHeight="1" s="78"/>
    <row r="219" ht="15.75" customHeight="1" s="78"/>
    <row r="220" ht="15.75" customHeight="1" s="78"/>
    <row r="221" ht="15.75" customHeight="1" s="78"/>
    <row r="222" ht="15.75" customHeight="1" s="78"/>
    <row r="223" ht="15.75" customHeight="1" s="78"/>
    <row r="224" ht="15.75" customHeight="1" s="78"/>
    <row r="225" ht="15.75" customHeight="1" s="78"/>
    <row r="226" ht="15.75" customHeight="1" s="78"/>
    <row r="227" ht="15.75" customHeight="1" s="78"/>
    <row r="228" ht="15.75" customHeight="1" s="78"/>
    <row r="229" ht="15.75" customHeight="1" s="78"/>
    <row r="230" ht="15.75" customHeight="1" s="78"/>
    <row r="231" ht="15.75" customHeight="1" s="78"/>
    <row r="232" ht="15.75" customHeight="1" s="78"/>
    <row r="233" ht="15.75" customHeight="1" s="78"/>
    <row r="234" ht="15.75" customHeight="1" s="78"/>
    <row r="235" ht="15.75" customHeight="1" s="78"/>
    <row r="236" ht="15.75" customHeight="1" s="78"/>
    <row r="237" ht="15.75" customHeight="1" s="78"/>
    <row r="238" ht="15.75" customHeight="1" s="78"/>
    <row r="239" ht="15.75" customHeight="1" s="78"/>
    <row r="240" ht="15.75" customHeight="1" s="78"/>
    <row r="241" ht="15.75" customHeight="1" s="78"/>
    <row r="242" ht="15.75" customHeight="1" s="78"/>
    <row r="243" ht="15.75" customHeight="1" s="78"/>
    <row r="244" ht="15.75" customHeight="1" s="78"/>
    <row r="245" ht="15.75" customHeight="1" s="78"/>
    <row r="246" ht="15.75" customHeight="1" s="78"/>
    <row r="247" ht="15.75" customHeight="1" s="78"/>
    <row r="248" ht="15.75" customHeight="1" s="78"/>
    <row r="249" ht="15.75" customHeight="1" s="78"/>
    <row r="250" ht="15.75" customHeight="1" s="78"/>
    <row r="251" ht="15.75" customHeight="1" s="78"/>
    <row r="252" ht="15.75" customHeight="1" s="78"/>
    <row r="253" ht="15.75" customHeight="1" s="78"/>
    <row r="254" ht="15.75" customHeight="1" s="78"/>
    <row r="255" ht="15.75" customHeight="1" s="78"/>
    <row r="256" ht="15.75" customHeight="1" s="78"/>
    <row r="257" ht="15.75" customHeight="1" s="78"/>
    <row r="258" ht="15.75" customHeight="1" s="78"/>
    <row r="259" ht="15.75" customHeight="1" s="78"/>
    <row r="260" ht="15.75" customHeight="1" s="78"/>
    <row r="261" ht="15.75" customHeight="1" s="78"/>
    <row r="262" ht="15.75" customHeight="1" s="78"/>
    <row r="263" ht="15.75" customHeight="1" s="78"/>
    <row r="264" ht="15.75" customHeight="1" s="78"/>
    <row r="265" ht="15.75" customHeight="1" s="78"/>
    <row r="266" ht="15.75" customHeight="1" s="78"/>
    <row r="267" ht="15.75" customHeight="1" s="78"/>
    <row r="268" ht="15.75" customHeight="1" s="78"/>
    <row r="269" ht="15.75" customHeight="1" s="78"/>
    <row r="270" ht="15.75" customHeight="1" s="78"/>
    <row r="271" ht="15.75" customHeight="1" s="78"/>
    <row r="272" ht="15.75" customHeight="1" s="78"/>
    <row r="273" ht="15.75" customHeight="1" s="78"/>
    <row r="274" ht="15.75" customHeight="1" s="78"/>
    <row r="275" ht="15.75" customHeight="1" s="78"/>
    <row r="276" ht="15.75" customHeight="1" s="78"/>
    <row r="277" ht="15.75" customHeight="1" s="78"/>
    <row r="278" ht="15.75" customHeight="1" s="78"/>
    <row r="279" ht="15.75" customHeight="1" s="78"/>
    <row r="280" ht="15.75" customHeight="1" s="78"/>
    <row r="281" ht="15.75" customHeight="1" s="78"/>
    <row r="282" ht="15.75" customHeight="1" s="78"/>
    <row r="283" ht="15.75" customHeight="1" s="78"/>
    <row r="284" ht="15.75" customHeight="1" s="78"/>
    <row r="285" ht="15.75" customHeight="1" s="78"/>
    <row r="286" ht="15.75" customHeight="1" s="78"/>
    <row r="287" ht="15.75" customHeight="1" s="78"/>
    <row r="288" ht="15.75" customHeight="1" s="78"/>
    <row r="289" ht="15.75" customHeight="1" s="78"/>
    <row r="290" ht="15.75" customHeight="1" s="78"/>
    <row r="291" ht="15.75" customHeight="1" s="78"/>
    <row r="292" ht="15.75" customHeight="1" s="78"/>
    <row r="293" ht="15.75" customHeight="1" s="78"/>
    <row r="294" ht="15.75" customHeight="1" s="78"/>
    <row r="295" ht="15.75" customHeight="1" s="78"/>
    <row r="296" ht="15.75" customHeight="1" s="78"/>
    <row r="297" ht="15.75" customHeight="1" s="78"/>
    <row r="298" ht="15.75" customHeight="1" s="78"/>
    <row r="299" ht="15.75" customHeight="1" s="78"/>
    <row r="300" ht="15.75" customHeight="1" s="78"/>
    <row r="301" ht="15.75" customHeight="1" s="78"/>
    <row r="302" ht="15.75" customHeight="1" s="78"/>
    <row r="303" ht="15.75" customHeight="1" s="78"/>
    <row r="304" ht="15.75" customHeight="1" s="78"/>
    <row r="305" ht="15.75" customHeight="1" s="78"/>
    <row r="306" ht="15.75" customHeight="1" s="78"/>
    <row r="307" ht="15.75" customHeight="1" s="78"/>
    <row r="308" ht="15.75" customHeight="1" s="78"/>
    <row r="309" ht="15.75" customHeight="1" s="78"/>
    <row r="310" ht="15.75" customHeight="1" s="78"/>
    <row r="311" ht="15.75" customHeight="1" s="78"/>
    <row r="312" ht="15.75" customHeight="1" s="78"/>
    <row r="313" ht="15.75" customHeight="1" s="78"/>
    <row r="314" ht="15.75" customHeight="1" s="78"/>
    <row r="315" ht="15.75" customHeight="1" s="78"/>
    <row r="316" ht="15.75" customHeight="1" s="78"/>
    <row r="317" ht="15.75" customHeight="1" s="78"/>
    <row r="318" ht="15.75" customHeight="1" s="78"/>
    <row r="319" ht="15.75" customHeight="1" s="78"/>
    <row r="320" ht="15.75" customHeight="1" s="78"/>
    <row r="321" ht="15.75" customHeight="1" s="78"/>
    <row r="322" ht="15.75" customHeight="1" s="78"/>
    <row r="323" ht="15.75" customHeight="1" s="78"/>
    <row r="324" ht="15.75" customHeight="1" s="78"/>
    <row r="325" ht="15.75" customHeight="1" s="78"/>
    <row r="326" ht="15.75" customHeight="1" s="78"/>
    <row r="327" ht="15.75" customHeight="1" s="78"/>
    <row r="328" ht="15.75" customHeight="1" s="78"/>
    <row r="329" ht="15.75" customHeight="1" s="78"/>
    <row r="330" ht="15.75" customHeight="1" s="78"/>
    <row r="331" ht="15.75" customHeight="1" s="78"/>
    <row r="332" ht="15.75" customHeight="1" s="78"/>
    <row r="333" ht="15.75" customHeight="1" s="78"/>
    <row r="334" ht="15.75" customHeight="1" s="78"/>
    <row r="335" ht="15.75" customHeight="1" s="78"/>
    <row r="336" ht="15.75" customHeight="1" s="78"/>
    <row r="337" ht="15.75" customHeight="1" s="78"/>
    <row r="338" ht="15.75" customHeight="1" s="78"/>
    <row r="339" ht="15.75" customHeight="1" s="78"/>
    <row r="340" ht="15.75" customHeight="1" s="78"/>
    <row r="341" ht="15.75" customHeight="1" s="78"/>
    <row r="342" ht="15.75" customHeight="1" s="78"/>
    <row r="343" ht="15.75" customHeight="1" s="78"/>
    <row r="344" ht="15.75" customHeight="1" s="78"/>
    <row r="345" ht="15.75" customHeight="1" s="78"/>
    <row r="346" ht="15.75" customHeight="1" s="78"/>
    <row r="347" ht="15.75" customHeight="1" s="78"/>
    <row r="348" ht="15.75" customHeight="1" s="78"/>
    <row r="349" ht="15.75" customHeight="1" s="78"/>
    <row r="350" ht="15.75" customHeight="1" s="78"/>
    <row r="351" ht="15.75" customHeight="1" s="78"/>
    <row r="352" ht="15.75" customHeight="1" s="78"/>
    <row r="353" ht="15.75" customHeight="1" s="78"/>
    <row r="354" ht="15.75" customHeight="1" s="78"/>
    <row r="355" ht="15.75" customHeight="1" s="78"/>
    <row r="356" ht="15.75" customHeight="1" s="78"/>
    <row r="357" ht="15.75" customHeight="1" s="78"/>
    <row r="358" ht="15.75" customHeight="1" s="78"/>
    <row r="359" ht="15.75" customHeight="1" s="78"/>
    <row r="360" ht="15.75" customHeight="1" s="78"/>
    <row r="361" ht="15.75" customHeight="1" s="78"/>
    <row r="362" ht="15.75" customHeight="1" s="78"/>
    <row r="363" ht="15.75" customHeight="1" s="78"/>
    <row r="364" ht="15.75" customHeight="1" s="78"/>
    <row r="365" ht="15.75" customHeight="1" s="78"/>
    <row r="366" ht="15.75" customHeight="1" s="78"/>
    <row r="367" ht="15.75" customHeight="1" s="78"/>
    <row r="368" ht="15.75" customHeight="1" s="78"/>
    <row r="369" ht="15.75" customHeight="1" s="78"/>
    <row r="370" ht="15.75" customHeight="1" s="78"/>
    <row r="371" ht="15.75" customHeight="1" s="78"/>
    <row r="372" ht="15.75" customHeight="1" s="78"/>
    <row r="373" ht="15.75" customHeight="1" s="78"/>
    <row r="374" ht="15.75" customHeight="1" s="78"/>
    <row r="375" ht="15.75" customHeight="1" s="78"/>
    <row r="376" ht="15.75" customHeight="1" s="78"/>
    <row r="377" ht="15.75" customHeight="1" s="78"/>
    <row r="378" ht="15.75" customHeight="1" s="78"/>
    <row r="379" ht="15.75" customHeight="1" s="78"/>
    <row r="380" ht="15.75" customHeight="1" s="78"/>
    <row r="381" ht="15.75" customHeight="1" s="78"/>
    <row r="382" ht="15.75" customHeight="1" s="78"/>
    <row r="383" ht="15.75" customHeight="1" s="78"/>
    <row r="384" ht="15.75" customHeight="1" s="78"/>
    <row r="385" ht="15.75" customHeight="1" s="78"/>
    <row r="386" ht="15.75" customHeight="1" s="78"/>
    <row r="387" ht="15.75" customHeight="1" s="78"/>
    <row r="388" ht="15.75" customHeight="1" s="78"/>
    <row r="389" ht="15.75" customHeight="1" s="78"/>
    <row r="390" ht="15.75" customHeight="1" s="78"/>
    <row r="391" ht="15.75" customHeight="1" s="78"/>
    <row r="392" ht="15.75" customHeight="1" s="78"/>
    <row r="393" ht="15.75" customHeight="1" s="78"/>
    <row r="394" ht="15.75" customHeight="1" s="78"/>
    <row r="395" ht="15.75" customHeight="1" s="78"/>
    <row r="396" ht="15.75" customHeight="1" s="78"/>
    <row r="397" ht="15.75" customHeight="1" s="78"/>
    <row r="398" ht="15.75" customHeight="1" s="78"/>
    <row r="399" ht="15.75" customHeight="1" s="78"/>
    <row r="400" ht="15.75" customHeight="1" s="78"/>
    <row r="401" ht="15.75" customHeight="1" s="78"/>
    <row r="402" ht="15.75" customHeight="1" s="78"/>
    <row r="403" ht="15.75" customHeight="1" s="78"/>
    <row r="404" ht="15.75" customHeight="1" s="78"/>
    <row r="405" ht="15.75" customHeight="1" s="78"/>
    <row r="406" ht="15.75" customHeight="1" s="78"/>
    <row r="407" ht="15.75" customHeight="1" s="78"/>
    <row r="408" ht="15.75" customHeight="1" s="78"/>
    <row r="409" ht="15.75" customHeight="1" s="78"/>
    <row r="410" ht="15.75" customHeight="1" s="78"/>
    <row r="411" ht="15.75" customHeight="1" s="78"/>
    <row r="412" ht="15.75" customHeight="1" s="78"/>
    <row r="413" ht="15.75" customHeight="1" s="78"/>
    <row r="414" ht="15.75" customHeight="1" s="78"/>
    <row r="415" ht="15.75" customHeight="1" s="78"/>
    <row r="416" ht="15.75" customHeight="1" s="78"/>
    <row r="417" ht="15.75" customHeight="1" s="78"/>
    <row r="418" ht="15.75" customHeight="1" s="78"/>
    <row r="419" ht="15.75" customHeight="1" s="78"/>
    <row r="420" ht="15.75" customHeight="1" s="78"/>
    <row r="421" ht="15.75" customHeight="1" s="78"/>
    <row r="422" ht="15.75" customHeight="1" s="78"/>
    <row r="423" ht="15.75" customHeight="1" s="78"/>
    <row r="424" ht="15.75" customHeight="1" s="78"/>
    <row r="425" ht="15.75" customHeight="1" s="78"/>
    <row r="426" ht="15.75" customHeight="1" s="78"/>
    <row r="427" ht="15.75" customHeight="1" s="78"/>
    <row r="428" ht="15.75" customHeight="1" s="78"/>
    <row r="429" ht="15.75" customHeight="1" s="78"/>
    <row r="430" ht="15.75" customHeight="1" s="78"/>
    <row r="431" ht="15.75" customHeight="1" s="78"/>
    <row r="432" ht="15.75" customHeight="1" s="78"/>
    <row r="433" ht="15.75" customHeight="1" s="78"/>
    <row r="434" ht="15.75" customHeight="1" s="78"/>
    <row r="435" ht="15.75" customHeight="1" s="78"/>
    <row r="436" ht="15.75" customHeight="1" s="78"/>
    <row r="437" ht="15.75" customHeight="1" s="78"/>
    <row r="438" ht="15.75" customHeight="1" s="78"/>
    <row r="439" ht="15.75" customHeight="1" s="78"/>
    <row r="440" ht="15.75" customHeight="1" s="78"/>
    <row r="441" ht="15.75" customHeight="1" s="78"/>
    <row r="442" ht="15.75" customHeight="1" s="78"/>
    <row r="443" ht="15.75" customHeight="1" s="78"/>
    <row r="444" ht="15.75" customHeight="1" s="78"/>
    <row r="445" ht="15.75" customHeight="1" s="78"/>
    <row r="446" ht="15.75" customHeight="1" s="78"/>
    <row r="447" ht="15.75" customHeight="1" s="78"/>
    <row r="448" ht="15.75" customHeight="1" s="78"/>
    <row r="449" ht="15.75" customHeight="1" s="78"/>
    <row r="450" ht="15.75" customHeight="1" s="78"/>
    <row r="451" ht="15.75" customHeight="1" s="78"/>
    <row r="452" ht="15.75" customHeight="1" s="78"/>
    <row r="453" ht="15.75" customHeight="1" s="78"/>
    <row r="454" ht="15.75" customHeight="1" s="78"/>
    <row r="455" ht="15.75" customHeight="1" s="78"/>
    <row r="456" ht="15.75" customHeight="1" s="78"/>
    <row r="457" ht="15.75" customHeight="1" s="78"/>
    <row r="458" ht="15.75" customHeight="1" s="78"/>
    <row r="459" ht="15.75" customHeight="1" s="78"/>
    <row r="460" ht="15.75" customHeight="1" s="78"/>
    <row r="461" ht="15.75" customHeight="1" s="78"/>
    <row r="462" ht="15.75" customHeight="1" s="78"/>
    <row r="463" ht="15.75" customHeight="1" s="78"/>
    <row r="464" ht="15.75" customHeight="1" s="78"/>
    <row r="465" ht="15.75" customHeight="1" s="78"/>
    <row r="466" ht="15.75" customHeight="1" s="78"/>
    <row r="467" ht="15.75" customHeight="1" s="78"/>
    <row r="468" ht="15.75" customHeight="1" s="78"/>
    <row r="469" ht="15.75" customHeight="1" s="78"/>
    <row r="470" ht="15.75" customHeight="1" s="78"/>
    <row r="471" ht="15.75" customHeight="1" s="78"/>
    <row r="472" ht="15.75" customHeight="1" s="78"/>
    <row r="473" ht="15.75" customHeight="1" s="78"/>
    <row r="474" ht="15.75" customHeight="1" s="78"/>
    <row r="475" ht="15.75" customHeight="1" s="78"/>
    <row r="476" ht="15.75" customHeight="1" s="78"/>
    <row r="477" ht="15.75" customHeight="1" s="78"/>
    <row r="478" ht="15.75" customHeight="1" s="78"/>
    <row r="479" ht="15.75" customHeight="1" s="78"/>
    <row r="480" ht="15.75" customHeight="1" s="78"/>
    <row r="481" ht="15.75" customHeight="1" s="78"/>
    <row r="482" ht="15.75" customHeight="1" s="78"/>
    <row r="483" ht="15.75" customHeight="1" s="78"/>
    <row r="484" ht="15.75" customHeight="1" s="78"/>
    <row r="485" ht="15.75" customHeight="1" s="78"/>
    <row r="486" ht="15.75" customHeight="1" s="78"/>
    <row r="487" ht="15.75" customHeight="1" s="78"/>
    <row r="488" ht="15.75" customHeight="1" s="78"/>
    <row r="489" ht="15.75" customHeight="1" s="78"/>
    <row r="490" ht="15.75" customHeight="1" s="78"/>
    <row r="491" ht="15.75" customHeight="1" s="78"/>
    <row r="492" ht="15.75" customHeight="1" s="78"/>
    <row r="493" ht="15.75" customHeight="1" s="78"/>
    <row r="494" ht="15.75" customHeight="1" s="78"/>
    <row r="495" ht="15.75" customHeight="1" s="78"/>
    <row r="496" ht="15.75" customHeight="1" s="78"/>
    <row r="497" ht="15.75" customHeight="1" s="78"/>
    <row r="498" ht="15.75" customHeight="1" s="78"/>
    <row r="499" ht="15.75" customHeight="1" s="78"/>
    <row r="500" ht="15.75" customHeight="1" s="78"/>
    <row r="501" ht="15.75" customHeight="1" s="78"/>
    <row r="502" ht="15.75" customHeight="1" s="78"/>
    <row r="503" ht="15.75" customHeight="1" s="78"/>
    <row r="504" ht="15.75" customHeight="1" s="78"/>
    <row r="505" ht="15.75" customHeight="1" s="78"/>
    <row r="506" ht="15.75" customHeight="1" s="78"/>
    <row r="507" ht="15.75" customHeight="1" s="78"/>
    <row r="508" ht="15.75" customHeight="1" s="78"/>
    <row r="509" ht="15.75" customHeight="1" s="78"/>
    <row r="510" ht="15.75" customHeight="1" s="78"/>
    <row r="511" ht="15.75" customHeight="1" s="78"/>
    <row r="512" ht="15.75" customHeight="1" s="78"/>
    <row r="513" ht="15.75" customHeight="1" s="78"/>
    <row r="514" ht="15.75" customHeight="1" s="78"/>
    <row r="515" ht="15.75" customHeight="1" s="78"/>
    <row r="516" ht="15.75" customHeight="1" s="78"/>
    <row r="517" ht="15.75" customHeight="1" s="78"/>
    <row r="518" ht="15.75" customHeight="1" s="78"/>
    <row r="519" ht="15.75" customHeight="1" s="78"/>
    <row r="520" ht="15.75" customHeight="1" s="78"/>
    <row r="521" ht="15.75" customHeight="1" s="78"/>
    <row r="522" ht="15.75" customHeight="1" s="78"/>
    <row r="523" ht="15.75" customHeight="1" s="78"/>
    <row r="524" ht="15.75" customHeight="1" s="78"/>
    <row r="525" ht="15.75" customHeight="1" s="78"/>
    <row r="526" ht="15.75" customHeight="1" s="78"/>
    <row r="527" ht="15.75" customHeight="1" s="78"/>
    <row r="528" ht="15.75" customHeight="1" s="78"/>
    <row r="529" ht="15.75" customHeight="1" s="78"/>
    <row r="530" ht="15.75" customHeight="1" s="78"/>
    <row r="531" ht="15.75" customHeight="1" s="78"/>
    <row r="532" ht="15.75" customHeight="1" s="78"/>
    <row r="533" ht="15.75" customHeight="1" s="78"/>
    <row r="534" ht="15.75" customHeight="1" s="78"/>
    <row r="535" ht="15.75" customHeight="1" s="78"/>
    <row r="536" ht="15.75" customHeight="1" s="78"/>
    <row r="537" ht="15.75" customHeight="1" s="78"/>
    <row r="538" ht="15.75" customHeight="1" s="78"/>
    <row r="539" ht="15.75" customHeight="1" s="78"/>
    <row r="540" ht="15.75" customHeight="1" s="78"/>
    <row r="541" ht="15.75" customHeight="1" s="78"/>
    <row r="542" ht="15.75" customHeight="1" s="78"/>
    <row r="543" ht="15.75" customHeight="1" s="78"/>
    <row r="544" ht="15.75" customHeight="1" s="78"/>
    <row r="545" ht="15.75" customHeight="1" s="78"/>
    <row r="546" ht="15.75" customHeight="1" s="78"/>
    <row r="547" ht="15.75" customHeight="1" s="78"/>
    <row r="548" ht="15.75" customHeight="1" s="78"/>
    <row r="549" ht="15.75" customHeight="1" s="78"/>
    <row r="550" ht="15.75" customHeight="1" s="78"/>
    <row r="551" ht="15.75" customHeight="1" s="78"/>
    <row r="552" ht="15.75" customHeight="1" s="78"/>
    <row r="553" ht="15.75" customHeight="1" s="78"/>
    <row r="554" ht="15.75" customHeight="1" s="78"/>
    <row r="555" ht="15.75" customHeight="1" s="78"/>
    <row r="556" ht="15.75" customHeight="1" s="78"/>
    <row r="557" ht="15.75" customHeight="1" s="78"/>
    <row r="558" ht="15.75" customHeight="1" s="78"/>
    <row r="559" ht="15.75" customHeight="1" s="78"/>
    <row r="560" ht="15.75" customHeight="1" s="78"/>
    <row r="561" ht="15.75" customHeight="1" s="78"/>
    <row r="562" ht="15.75" customHeight="1" s="78"/>
    <row r="563" ht="15.75" customHeight="1" s="78"/>
    <row r="564" ht="15.75" customHeight="1" s="78"/>
    <row r="565" ht="15.75" customHeight="1" s="78"/>
    <row r="566" ht="15.75" customHeight="1" s="78"/>
    <row r="567" ht="15.75" customHeight="1" s="78"/>
    <row r="568" ht="15.75" customHeight="1" s="78"/>
    <row r="569" ht="15.75" customHeight="1" s="78"/>
    <row r="570" ht="15.75" customHeight="1" s="78"/>
    <row r="571" ht="15.75" customHeight="1" s="78"/>
    <row r="572" ht="15.75" customHeight="1" s="78"/>
    <row r="573" ht="15.75" customHeight="1" s="78"/>
    <row r="574" ht="15.75" customHeight="1" s="78"/>
    <row r="575" ht="15.75" customHeight="1" s="78"/>
    <row r="576" ht="15.75" customHeight="1" s="78"/>
    <row r="577" ht="15.75" customHeight="1" s="78"/>
    <row r="578" ht="15.75" customHeight="1" s="78"/>
    <row r="579" ht="15.75" customHeight="1" s="78"/>
    <row r="580" ht="15.75" customHeight="1" s="78"/>
    <row r="581" ht="15.75" customHeight="1" s="78"/>
    <row r="582" ht="15.75" customHeight="1" s="78"/>
    <row r="583" ht="15.75" customHeight="1" s="78"/>
    <row r="584" ht="15.75" customHeight="1" s="78"/>
    <row r="585" ht="15.75" customHeight="1" s="78"/>
    <row r="586" ht="15.75" customHeight="1" s="78"/>
    <row r="587" ht="15.75" customHeight="1" s="78"/>
    <row r="588" ht="15.75" customHeight="1" s="78"/>
    <row r="589" ht="15.75" customHeight="1" s="78"/>
    <row r="590" ht="15.75" customHeight="1" s="78"/>
    <row r="591" ht="15.75" customHeight="1" s="78"/>
    <row r="592" ht="15.75" customHeight="1" s="78"/>
    <row r="593" ht="15.75" customHeight="1" s="78"/>
    <row r="594" ht="15.75" customHeight="1" s="78"/>
    <row r="595" ht="15.75" customHeight="1" s="78"/>
    <row r="596" ht="15.75" customHeight="1" s="78"/>
    <row r="597" ht="15.75" customHeight="1" s="78"/>
    <row r="598" ht="15.75" customHeight="1" s="78"/>
    <row r="599" ht="15.75" customHeight="1" s="78"/>
    <row r="600" ht="15.75" customHeight="1" s="78"/>
    <row r="601" ht="15.75" customHeight="1" s="78"/>
    <row r="602" ht="15.75" customHeight="1" s="78"/>
    <row r="603" ht="15.75" customHeight="1" s="78"/>
    <row r="604" ht="15.75" customHeight="1" s="78"/>
    <row r="605" ht="15.75" customHeight="1" s="78"/>
    <row r="606" ht="15.75" customHeight="1" s="78"/>
    <row r="607" ht="15.75" customHeight="1" s="78"/>
    <row r="608" ht="15.75" customHeight="1" s="78"/>
    <row r="609" ht="15.75" customHeight="1" s="78"/>
    <row r="610" ht="15.75" customHeight="1" s="78"/>
    <row r="611" ht="15.75" customHeight="1" s="78"/>
    <row r="612" ht="15.75" customHeight="1" s="78"/>
    <row r="613" ht="15.75" customHeight="1" s="78"/>
    <row r="614" ht="15.75" customHeight="1" s="78"/>
    <row r="615" ht="15.75" customHeight="1" s="78"/>
    <row r="616" ht="15.75" customHeight="1" s="78"/>
    <row r="617" ht="15.75" customHeight="1" s="78"/>
    <row r="618" ht="15.75" customHeight="1" s="78"/>
    <row r="619" ht="15.75" customHeight="1" s="78"/>
    <row r="620" ht="15.75" customHeight="1" s="78"/>
    <row r="621" ht="15.75" customHeight="1" s="78"/>
    <row r="622" ht="15.75" customHeight="1" s="78"/>
    <row r="623" ht="15.75" customHeight="1" s="78"/>
    <row r="624" ht="15.75" customHeight="1" s="78"/>
    <row r="625" ht="15.75" customHeight="1" s="78"/>
    <row r="626" ht="15.75" customHeight="1" s="78"/>
    <row r="627" ht="15.75" customHeight="1" s="78"/>
    <row r="628" ht="15.75" customHeight="1" s="78"/>
    <row r="629" ht="15.75" customHeight="1" s="78"/>
    <row r="630" ht="15.75" customHeight="1" s="78"/>
    <row r="631" ht="15.75" customHeight="1" s="78"/>
    <row r="632" ht="15.75" customHeight="1" s="78"/>
    <row r="633" ht="15.75" customHeight="1" s="78"/>
    <row r="634" ht="15.75" customHeight="1" s="78"/>
    <row r="635" ht="15.75" customHeight="1" s="78"/>
    <row r="636" ht="15.75" customHeight="1" s="78"/>
    <row r="637" ht="15.75" customHeight="1" s="78"/>
    <row r="638" ht="15.75" customHeight="1" s="78"/>
    <row r="639" ht="15.75" customHeight="1" s="78"/>
    <row r="640" ht="15.75" customHeight="1" s="78"/>
    <row r="641" ht="15.75" customHeight="1" s="78"/>
    <row r="642" ht="15.75" customHeight="1" s="78"/>
    <row r="643" ht="15.75" customHeight="1" s="78"/>
    <row r="644" ht="15.75" customHeight="1" s="78"/>
    <row r="645" ht="15.75" customHeight="1" s="78"/>
    <row r="646" ht="15.75" customHeight="1" s="78"/>
    <row r="647" ht="15.75" customHeight="1" s="78"/>
    <row r="648" ht="15.75" customHeight="1" s="78"/>
    <row r="649" ht="15.75" customHeight="1" s="78"/>
    <row r="650" ht="15.75" customHeight="1" s="78"/>
    <row r="651" ht="15.75" customHeight="1" s="78"/>
    <row r="652" ht="15.75" customHeight="1" s="78"/>
    <row r="653" ht="15.75" customHeight="1" s="78"/>
    <row r="654" ht="15.75" customHeight="1" s="78"/>
    <row r="655" ht="15.75" customHeight="1" s="78"/>
    <row r="656" ht="15.75" customHeight="1" s="78"/>
    <row r="657" ht="15.75" customHeight="1" s="78"/>
    <row r="658" ht="15.75" customHeight="1" s="78"/>
    <row r="659" ht="15.75" customHeight="1" s="78"/>
    <row r="660" ht="15.75" customHeight="1" s="78"/>
    <row r="661" ht="15.75" customHeight="1" s="78"/>
    <row r="662" ht="15.75" customHeight="1" s="78"/>
    <row r="663" ht="15.75" customHeight="1" s="78"/>
    <row r="664" ht="15.75" customHeight="1" s="78"/>
    <row r="665" ht="15.75" customHeight="1" s="78"/>
    <row r="666" ht="15.75" customHeight="1" s="78"/>
    <row r="667" ht="15.75" customHeight="1" s="78"/>
    <row r="668" ht="15.75" customHeight="1" s="78"/>
    <row r="669" ht="15.75" customHeight="1" s="78"/>
    <row r="670" ht="15.75" customHeight="1" s="78"/>
    <row r="671" ht="15.75" customHeight="1" s="78"/>
    <row r="672" ht="15.75" customHeight="1" s="78"/>
    <row r="673" ht="15.75" customHeight="1" s="78"/>
    <row r="674" ht="15.75" customHeight="1" s="78"/>
    <row r="675" ht="15.75" customHeight="1" s="78"/>
    <row r="676" ht="15.75" customHeight="1" s="78"/>
    <row r="677" ht="15.75" customHeight="1" s="78"/>
    <row r="678" ht="15.75" customHeight="1" s="78"/>
    <row r="679" ht="15.75" customHeight="1" s="78"/>
    <row r="680" ht="15.75" customHeight="1" s="78"/>
    <row r="681" ht="15.75" customHeight="1" s="78"/>
    <row r="682" ht="15.75" customHeight="1" s="78"/>
    <row r="683" ht="15.75" customHeight="1" s="78"/>
    <row r="684" ht="15.75" customHeight="1" s="78"/>
    <row r="685" ht="15.75" customHeight="1" s="78"/>
    <row r="686" ht="15.75" customHeight="1" s="78"/>
    <row r="687" ht="15.75" customHeight="1" s="78"/>
    <row r="688" ht="15.75" customHeight="1" s="78"/>
    <row r="689" ht="15.75" customHeight="1" s="78"/>
    <row r="690" ht="15.75" customHeight="1" s="78"/>
    <row r="691" ht="15.75" customHeight="1" s="78"/>
    <row r="692" ht="15.75" customHeight="1" s="78"/>
    <row r="693" ht="15.75" customHeight="1" s="78"/>
    <row r="694" ht="15.75" customHeight="1" s="78"/>
    <row r="695" ht="15.75" customHeight="1" s="78"/>
    <row r="696" ht="15.75" customHeight="1" s="78"/>
    <row r="697" ht="15.75" customHeight="1" s="78"/>
    <row r="698" ht="15.75" customHeight="1" s="78"/>
    <row r="699" ht="15.75" customHeight="1" s="78"/>
    <row r="700" ht="15.75" customHeight="1" s="78"/>
    <row r="701" ht="15.75" customHeight="1" s="78"/>
    <row r="702" ht="15.75" customHeight="1" s="78"/>
    <row r="703" ht="15.75" customHeight="1" s="78"/>
    <row r="704" ht="15.75" customHeight="1" s="78"/>
    <row r="705" ht="15.75" customHeight="1" s="78"/>
    <row r="706" ht="15.75" customHeight="1" s="78"/>
    <row r="707" ht="15.75" customHeight="1" s="78"/>
    <row r="708" ht="15.75" customHeight="1" s="78"/>
    <row r="709" ht="15.75" customHeight="1" s="78"/>
    <row r="710" ht="15.75" customHeight="1" s="78"/>
    <row r="711" ht="15.75" customHeight="1" s="78"/>
    <row r="712" ht="15.75" customHeight="1" s="78"/>
    <row r="713" ht="15.75" customHeight="1" s="78"/>
    <row r="714" ht="15.75" customHeight="1" s="78"/>
    <row r="715" ht="15.75" customHeight="1" s="78"/>
    <row r="716" ht="15.75" customHeight="1" s="78"/>
    <row r="717" ht="15.75" customHeight="1" s="78"/>
    <row r="718" ht="15.75" customHeight="1" s="78"/>
    <row r="719" ht="15.75" customHeight="1" s="78"/>
    <row r="720" ht="15.75" customHeight="1" s="78"/>
    <row r="721" ht="15.75" customHeight="1" s="78"/>
    <row r="722" ht="15.75" customHeight="1" s="78"/>
    <row r="723" ht="15.75" customHeight="1" s="78"/>
    <row r="724" ht="15.75" customHeight="1" s="78"/>
    <row r="725" ht="15.75" customHeight="1" s="78"/>
    <row r="726" ht="15.75" customHeight="1" s="78"/>
    <row r="727" ht="15.75" customHeight="1" s="78"/>
    <row r="728" ht="15.75" customHeight="1" s="78"/>
    <row r="729" ht="15.75" customHeight="1" s="78"/>
    <row r="730" ht="15.75" customHeight="1" s="78"/>
    <row r="731" ht="15.75" customHeight="1" s="78"/>
    <row r="732" ht="15.75" customHeight="1" s="78"/>
    <row r="733" ht="15.75" customHeight="1" s="78"/>
    <row r="734" ht="15.75" customHeight="1" s="78"/>
    <row r="735" ht="15.75" customHeight="1" s="78"/>
    <row r="736" ht="15.75" customHeight="1" s="78"/>
    <row r="737" ht="15.75" customHeight="1" s="78"/>
    <row r="738" ht="15.75" customHeight="1" s="78"/>
    <row r="739" ht="15.75" customHeight="1" s="78"/>
    <row r="740" ht="15.75" customHeight="1" s="78"/>
    <row r="741" ht="15.75" customHeight="1" s="78"/>
    <row r="742" ht="15.75" customHeight="1" s="78"/>
    <row r="743" ht="15.75" customHeight="1" s="78"/>
    <row r="744" ht="15.75" customHeight="1" s="78"/>
    <row r="745" ht="15.75" customHeight="1" s="78"/>
    <row r="746" ht="15.75" customHeight="1" s="78"/>
    <row r="747" ht="15.75" customHeight="1" s="78"/>
    <row r="748" ht="15.75" customHeight="1" s="78"/>
    <row r="749" ht="15.75" customHeight="1" s="78"/>
    <row r="750" ht="15.75" customHeight="1" s="78"/>
    <row r="751" ht="15.75" customHeight="1" s="78"/>
    <row r="752" ht="15.75" customHeight="1" s="78"/>
    <row r="753" ht="15.75" customHeight="1" s="78"/>
    <row r="754" ht="15.75" customHeight="1" s="78"/>
    <row r="755" ht="15.75" customHeight="1" s="78"/>
    <row r="756" ht="15.75" customHeight="1" s="78"/>
    <row r="757" ht="15.75" customHeight="1" s="78"/>
    <row r="758" ht="15.75" customHeight="1" s="78"/>
    <row r="759" ht="15.75" customHeight="1" s="78"/>
    <row r="760" ht="15.75" customHeight="1" s="78"/>
    <row r="761" ht="15.75" customHeight="1" s="78"/>
    <row r="762" ht="15.75" customHeight="1" s="78"/>
    <row r="763" ht="15.75" customHeight="1" s="78"/>
    <row r="764" ht="15.75" customHeight="1" s="78"/>
    <row r="765" ht="15.75" customHeight="1" s="78"/>
    <row r="766" ht="15.75" customHeight="1" s="78"/>
    <row r="767" ht="15.75" customHeight="1" s="78"/>
    <row r="768" ht="15.75" customHeight="1" s="78"/>
    <row r="769" ht="15.75" customHeight="1" s="78"/>
    <row r="770" ht="15.75" customHeight="1" s="78"/>
    <row r="771" ht="15.75" customHeight="1" s="78"/>
    <row r="772" ht="15.75" customHeight="1" s="78"/>
    <row r="773" ht="15.75" customHeight="1" s="78"/>
    <row r="774" ht="15.75" customHeight="1" s="78"/>
    <row r="775" ht="15.75" customHeight="1" s="78"/>
    <row r="776" ht="15.75" customHeight="1" s="78"/>
    <row r="777" ht="15.75" customHeight="1" s="78"/>
    <row r="778" ht="15.75" customHeight="1" s="78"/>
    <row r="779" ht="15.75" customHeight="1" s="78"/>
    <row r="780" ht="15.75" customHeight="1" s="78"/>
    <row r="781" ht="15.75" customHeight="1" s="78"/>
    <row r="782" ht="15.75" customHeight="1" s="78"/>
    <row r="783" ht="15.75" customHeight="1" s="78"/>
    <row r="784" ht="15.75" customHeight="1" s="78"/>
    <row r="785" ht="15.75" customHeight="1" s="78"/>
    <row r="786" ht="15.75" customHeight="1" s="78"/>
    <row r="787" ht="15.75" customHeight="1" s="78"/>
    <row r="788" ht="15.75" customHeight="1" s="78"/>
    <row r="789" ht="15.75" customHeight="1" s="78"/>
    <row r="790" ht="15.75" customHeight="1" s="78"/>
    <row r="791" ht="15.75" customHeight="1" s="78"/>
    <row r="792" ht="15.75" customHeight="1" s="78"/>
    <row r="793" ht="15.75" customHeight="1" s="78"/>
    <row r="794" ht="15.75" customHeight="1" s="78"/>
    <row r="795" ht="15.75" customHeight="1" s="78"/>
    <row r="796" ht="15.75" customHeight="1" s="78"/>
    <row r="797" ht="15.75" customHeight="1" s="78"/>
    <row r="798" ht="15.75" customHeight="1" s="78"/>
    <row r="799" ht="15.75" customHeight="1" s="78"/>
    <row r="800" ht="15.75" customHeight="1" s="78"/>
    <row r="801" ht="15.75" customHeight="1" s="78"/>
    <row r="802" ht="15.75" customHeight="1" s="78"/>
    <row r="803" ht="15.75" customHeight="1" s="78"/>
    <row r="804" ht="15.75" customHeight="1" s="78"/>
    <row r="805" ht="15.75" customHeight="1" s="78"/>
    <row r="806" ht="15.75" customHeight="1" s="78"/>
    <row r="807" ht="15.75" customHeight="1" s="78"/>
    <row r="808" ht="15.75" customHeight="1" s="78"/>
    <row r="809" ht="15.75" customHeight="1" s="78"/>
    <row r="810" ht="15.75" customHeight="1" s="78"/>
    <row r="811" ht="15.75" customHeight="1" s="78"/>
    <row r="812" ht="15.75" customHeight="1" s="78"/>
    <row r="813" ht="15.75" customHeight="1" s="78"/>
    <row r="814" ht="15.75" customHeight="1" s="78"/>
    <row r="815" ht="15.75" customHeight="1" s="78"/>
    <row r="816" ht="15.75" customHeight="1" s="78"/>
    <row r="817" ht="15.75" customHeight="1" s="78"/>
    <row r="818" ht="15.75" customHeight="1" s="78"/>
    <row r="819" ht="15.75" customHeight="1" s="78"/>
    <row r="820" ht="15.75" customHeight="1" s="78"/>
    <row r="821" ht="15.75" customHeight="1" s="78"/>
    <row r="822" ht="15.75" customHeight="1" s="78"/>
    <row r="823" ht="15.75" customHeight="1" s="78"/>
    <row r="824" ht="15.75" customHeight="1" s="78"/>
    <row r="825" ht="15.75" customHeight="1" s="78"/>
    <row r="826" ht="15.75" customHeight="1" s="78"/>
    <row r="827" ht="15.75" customHeight="1" s="78"/>
    <row r="828" ht="15.75" customHeight="1" s="78"/>
    <row r="829" ht="15.75" customHeight="1" s="78"/>
    <row r="830" ht="15.75" customHeight="1" s="78"/>
    <row r="831" ht="15.75" customHeight="1" s="78"/>
    <row r="832" ht="15.75" customHeight="1" s="78"/>
    <row r="833" ht="15.75" customHeight="1" s="78"/>
    <row r="834" ht="15.75" customHeight="1" s="78"/>
    <row r="835" ht="15.75" customHeight="1" s="78"/>
    <row r="836" ht="15.75" customHeight="1" s="78"/>
    <row r="837" ht="15.75" customHeight="1" s="78"/>
    <row r="838" ht="15.75" customHeight="1" s="78"/>
    <row r="839" ht="15.75" customHeight="1" s="78"/>
    <row r="840" ht="15.75" customHeight="1" s="78"/>
    <row r="841" ht="15.75" customHeight="1" s="78"/>
    <row r="842" ht="15.75" customHeight="1" s="78"/>
    <row r="843" ht="15.75" customHeight="1" s="78"/>
    <row r="844" ht="15.75" customHeight="1" s="78"/>
    <row r="845" ht="15.75" customHeight="1" s="78"/>
    <row r="846" ht="15.75" customHeight="1" s="78"/>
    <row r="847" ht="15.75" customHeight="1" s="78"/>
    <row r="848" ht="15.75" customHeight="1" s="78"/>
    <row r="849" ht="15.75" customHeight="1" s="78"/>
    <row r="850" ht="15.75" customHeight="1" s="78"/>
    <row r="851" ht="15.75" customHeight="1" s="78"/>
    <row r="852" ht="15.75" customHeight="1" s="78"/>
    <row r="853" ht="15.75" customHeight="1" s="78"/>
    <row r="854" ht="15.75" customHeight="1" s="78"/>
    <row r="855" ht="15.75" customHeight="1" s="78"/>
    <row r="856" ht="15.75" customHeight="1" s="78"/>
    <row r="857" ht="15.75" customHeight="1" s="78"/>
    <row r="858" ht="15.75" customHeight="1" s="78"/>
    <row r="859" ht="15.75" customHeight="1" s="78"/>
    <row r="860" ht="15.75" customHeight="1" s="78"/>
    <row r="861" ht="15.75" customHeight="1" s="78"/>
    <row r="862" ht="15.75" customHeight="1" s="78"/>
    <row r="863" ht="15.75" customHeight="1" s="78"/>
    <row r="864" ht="15.75" customHeight="1" s="78"/>
    <row r="865" ht="15.75" customHeight="1" s="78"/>
    <row r="866" ht="15.75" customHeight="1" s="78"/>
    <row r="867" ht="15.75" customHeight="1" s="78"/>
    <row r="868" ht="15.75" customHeight="1" s="78"/>
    <row r="869" ht="15.75" customHeight="1" s="78"/>
    <row r="870" ht="15.75" customHeight="1" s="78"/>
    <row r="871" ht="15.75" customHeight="1" s="78"/>
    <row r="872" ht="15.75" customHeight="1" s="78"/>
    <row r="873" ht="15.75" customHeight="1" s="78"/>
    <row r="874" ht="15.75" customHeight="1" s="78"/>
    <row r="875" ht="15.75" customHeight="1" s="78"/>
    <row r="876" ht="15.75" customHeight="1" s="78"/>
    <row r="877" ht="15.75" customHeight="1" s="78"/>
    <row r="878" ht="15.75" customHeight="1" s="78"/>
    <row r="879" ht="15.75" customHeight="1" s="78"/>
    <row r="880" ht="15.75" customHeight="1" s="78"/>
    <row r="881" ht="15.75" customHeight="1" s="78"/>
    <row r="882" ht="15.75" customHeight="1" s="78"/>
    <row r="883" ht="15.75" customHeight="1" s="78"/>
    <row r="884" ht="15.75" customHeight="1" s="78"/>
    <row r="885" ht="15.75" customHeight="1" s="78"/>
    <row r="886" ht="15.75" customHeight="1" s="78"/>
    <row r="887" ht="15.75" customHeight="1" s="78"/>
    <row r="888" ht="15.75" customHeight="1" s="78"/>
    <row r="889" ht="15.75" customHeight="1" s="78"/>
    <row r="890" ht="15.75" customHeight="1" s="78"/>
    <row r="891" ht="15.75" customHeight="1" s="78"/>
    <row r="892" ht="15.75" customHeight="1" s="78"/>
    <row r="893" ht="15.75" customHeight="1" s="78"/>
    <row r="894" ht="15.75" customHeight="1" s="78"/>
    <row r="895" ht="15.75" customHeight="1" s="78"/>
    <row r="896" ht="15.75" customHeight="1" s="78"/>
    <row r="897" ht="15.75" customHeight="1" s="78"/>
    <row r="898" ht="15.75" customHeight="1" s="78"/>
    <row r="899" ht="15.75" customHeight="1" s="78"/>
    <row r="900" ht="15.75" customHeight="1" s="78"/>
    <row r="901" ht="15.75" customHeight="1" s="78"/>
    <row r="902" ht="15.75" customHeight="1" s="78"/>
    <row r="903" ht="15.75" customHeight="1" s="78"/>
    <row r="904" ht="15.75" customHeight="1" s="78"/>
    <row r="905" ht="15.75" customHeight="1" s="78"/>
    <row r="906" ht="15.75" customHeight="1" s="78"/>
    <row r="907" ht="15.75" customHeight="1" s="78"/>
    <row r="908" ht="15.75" customHeight="1" s="78"/>
    <row r="909" ht="15.75" customHeight="1" s="78"/>
    <row r="910" ht="15.75" customHeight="1" s="78"/>
    <row r="911" ht="15.75" customHeight="1" s="78"/>
    <row r="912" ht="15.75" customHeight="1" s="78"/>
    <row r="913" ht="15.75" customHeight="1" s="78"/>
    <row r="914" ht="15.75" customHeight="1" s="78"/>
    <row r="915" ht="15.75" customHeight="1" s="78"/>
    <row r="916" ht="15.75" customHeight="1" s="78"/>
    <row r="917" ht="15.75" customHeight="1" s="78"/>
    <row r="918" ht="15.75" customHeight="1" s="78"/>
    <row r="919" ht="15.75" customHeight="1" s="78"/>
    <row r="920" ht="15.75" customHeight="1" s="78"/>
    <row r="921" ht="15.75" customHeight="1" s="78"/>
    <row r="922" ht="15.75" customHeight="1" s="78"/>
    <row r="923" ht="15.75" customHeight="1" s="78"/>
    <row r="924" ht="15.75" customHeight="1" s="78"/>
    <row r="925" ht="15.75" customHeight="1" s="78"/>
    <row r="926" ht="15.75" customHeight="1" s="78"/>
    <row r="927" ht="15.75" customHeight="1" s="78"/>
    <row r="928" ht="15.75" customHeight="1" s="78"/>
    <row r="929" ht="15.75" customHeight="1" s="78"/>
    <row r="930" ht="15.75" customHeight="1" s="78"/>
    <row r="931" ht="15.75" customHeight="1" s="78"/>
    <row r="932" ht="15.75" customHeight="1" s="78"/>
    <row r="933" ht="15.75" customHeight="1" s="78"/>
    <row r="934" ht="15.75" customHeight="1" s="78"/>
    <row r="935" ht="15.75" customHeight="1" s="78"/>
    <row r="936" ht="15.75" customHeight="1" s="78"/>
    <row r="937" ht="15.75" customHeight="1" s="78"/>
    <row r="938" ht="15.75" customHeight="1" s="78"/>
    <row r="939" ht="15.75" customHeight="1" s="78"/>
    <row r="940" ht="15.75" customHeight="1" s="78"/>
    <row r="941" ht="15.75" customHeight="1" s="78"/>
    <row r="942" ht="15.75" customHeight="1" s="78"/>
    <row r="943" ht="15.75" customHeight="1" s="78"/>
    <row r="944" ht="15.75" customHeight="1" s="78"/>
    <row r="945" ht="15.75" customHeight="1" s="78"/>
    <row r="946" ht="15.75" customHeight="1" s="78"/>
    <row r="947" ht="15.75" customHeight="1" s="78"/>
    <row r="948" ht="15.75" customHeight="1" s="78"/>
    <row r="949" ht="15.75" customHeight="1" s="78"/>
    <row r="950" ht="15.75" customHeight="1" s="78"/>
    <row r="951" ht="15.75" customHeight="1" s="78"/>
    <row r="952" ht="15.75" customHeight="1" s="78"/>
    <row r="953" ht="15.75" customHeight="1" s="78"/>
    <row r="954" ht="15.75" customHeight="1" s="78"/>
    <row r="955" ht="15.75" customHeight="1" s="78"/>
    <row r="956" ht="15.75" customHeight="1" s="78"/>
    <row r="957" ht="15.75" customHeight="1" s="78"/>
    <row r="958" ht="15.75" customHeight="1" s="78"/>
    <row r="959" ht="15.75" customHeight="1" s="78"/>
    <row r="960" ht="15.75" customHeight="1" s="78"/>
    <row r="961" ht="15.75" customHeight="1" s="78"/>
    <row r="962" ht="15.75" customHeight="1" s="78"/>
    <row r="963" ht="15.75" customHeight="1" s="78"/>
    <row r="964" ht="15.75" customHeight="1" s="78"/>
    <row r="965" ht="15.75" customHeight="1" s="78"/>
    <row r="966" ht="15.75" customHeight="1" s="78"/>
    <row r="967" ht="15.75" customHeight="1" s="78"/>
    <row r="968" ht="15.75" customHeight="1" s="78"/>
    <row r="969" ht="15.75" customHeight="1" s="78"/>
    <row r="970" ht="15.75" customHeight="1" s="78"/>
    <row r="971" ht="15.75" customHeight="1" s="78"/>
    <row r="972" ht="15.75" customHeight="1" s="78"/>
    <row r="973" ht="15.75" customHeight="1" s="78"/>
    <row r="974" ht="15.75" customHeight="1" s="78"/>
    <row r="975" ht="15.75" customHeight="1" s="78"/>
    <row r="976" ht="15.75" customHeight="1" s="78"/>
    <row r="977" ht="15.75" customHeight="1" s="78"/>
    <row r="978" ht="15.75" customHeight="1" s="78"/>
    <row r="979" ht="15.75" customHeight="1" s="78"/>
    <row r="980" ht="15.75" customHeight="1" s="78"/>
    <row r="981" ht="15.75" customHeight="1" s="78"/>
    <row r="982" ht="15.75" customHeight="1" s="78"/>
    <row r="983" ht="15.75" customHeight="1" s="78"/>
    <row r="984" ht="15.75" customHeight="1" s="78"/>
    <row r="985" ht="15.75" customHeight="1" s="78"/>
    <row r="986" ht="15.75" customHeight="1" s="78"/>
    <row r="987" ht="15.75" customHeight="1" s="78"/>
    <row r="988" ht="15.75" customHeight="1" s="78"/>
    <row r="989" ht="15.75" customHeight="1" s="78"/>
    <row r="990" ht="15.75" customHeight="1" s="78"/>
    <row r="991" ht="15.75" customHeight="1" s="78"/>
    <row r="992" ht="15.75" customHeight="1" s="78"/>
    <row r="993" ht="15.75" customHeight="1" s="78"/>
    <row r="994" ht="15.75" customHeight="1" s="78"/>
    <row r="995" ht="15.75" customHeight="1" s="78"/>
    <row r="996" ht="15.75" customHeight="1" s="78"/>
    <row r="997" ht="15.75" customHeight="1" s="78"/>
    <row r="998" ht="15.75" customHeight="1" s="78"/>
    <row r="999" ht="15.75" customHeight="1" s="78"/>
    <row r="1000" ht="15.75" customHeight="1" s="78"/>
  </sheetData>
  <mergeCells count="19">
    <mergeCell ref="A41:F41"/>
    <mergeCell ref="E43:F43"/>
    <mergeCell ref="E42:F42"/>
    <mergeCell ref="A43:D43"/>
    <mergeCell ref="E48:F48"/>
    <mergeCell ref="E44:F44"/>
    <mergeCell ref="A44:D44"/>
    <mergeCell ref="A48:D48"/>
    <mergeCell ref="A49:D49"/>
    <mergeCell ref="A45:D45"/>
    <mergeCell ref="E46:F46"/>
    <mergeCell ref="E49:F49"/>
    <mergeCell ref="E45:F45"/>
    <mergeCell ref="A46:D46"/>
    <mergeCell ref="A1:F1"/>
    <mergeCell ref="A47:D47"/>
    <mergeCell ref="A42:D42"/>
    <mergeCell ref="A2:M2"/>
    <mergeCell ref="E47:F47"/>
  </mergeCells>
  <dataValidations count="1">
    <dataValidation sqref="F5:F39" showDropDown="0" showInputMessage="0" showErrorMessage="0" allowBlank="1" type="list">
      <formula1>"Pass,Partial,Fail,Not Tested,N/A"</formula1>
    </dataValidation>
  </dataValidations>
  <pageMargins left="0.75" right="0.75" top="1" bottom="1" header="0" footer="0"/>
  <pageSetup orientation="landscape" fitToHeight="0"/>
</worksheet>
</file>

<file path=xl/worksheets/sheet11.xml><?xml version="1.0" encoding="utf-8"?>
<worksheet xmlns="http://schemas.openxmlformats.org/spreadsheetml/2006/main">
  <sheetPr>
    <outlinePr summaryBelow="1" summaryRight="1"/>
    <pageSetUpPr fitToPage="1"/>
  </sheetPr>
  <dimension ref="A1:J22"/>
  <sheetViews>
    <sheetView workbookViewId="0">
      <pane ySplit="4" topLeftCell="A5" activePane="bottomLeft" state="frozen"/>
      <selection pane="bottomLeft" activeCell="A1" sqref="A1"/>
    </sheetView>
  </sheetViews>
  <sheetFormatPr baseColWidth="8" defaultColWidth="14.43" defaultRowHeight="15" customHeight="1"/>
  <cols>
    <col width="6" customWidth="1" style="78" min="1" max="1"/>
    <col width="46" customWidth="1" style="78" min="2" max="2"/>
    <col width="26" customWidth="1" style="78" min="3" max="3"/>
    <col width="9" customWidth="1" style="78" min="4" max="4"/>
    <col width="13.71" customWidth="1" style="78" min="5" max="5"/>
    <col width="9" customWidth="1" style="78" min="6" max="6"/>
    <col width="40" customWidth="1" style="78" min="7" max="7"/>
    <col width="11" customWidth="1" style="78" min="8" max="8"/>
    <col width="8" customWidth="1" style="78" min="9" max="9"/>
    <col width="50" customWidth="1" style="78" min="10" max="10"/>
    <col width="8.710000000000001" customWidth="1" style="78" min="11" max="26"/>
  </cols>
  <sheetData>
    <row r="1">
      <c r="A1" s="76" t="inlineStr">
        <is>
          <t>Financial Transaction Accessibility (Supplemental) GTWorld (Guaranty Trust Bank, Nigeria)</t>
        </is>
      </c>
    </row>
    <row r="2" ht="15" customHeight="1" s="78">
      <c r="A2" s="6" t="inlineStr">
        <is>
          <t>Not part of WCAG. Grounded in GSMA Mobile Money Accessibility Guidelines, ITU-T F.921, and EN 301 549's authentication / real-time-transaction clauses. Blue cells are inputs.</t>
        </is>
      </c>
    </row>
    <row r="4" ht="30" customHeight="1" s="78">
      <c r="A4" s="8" t="inlineStr">
        <is>
          <t>Ref</t>
        </is>
      </c>
      <c r="B4" s="8" t="inlineStr">
        <is>
          <t>Check</t>
        </is>
      </c>
      <c r="C4" s="8" t="inlineStr">
        <is>
          <t>Standard reference</t>
        </is>
      </c>
      <c r="D4" s="8" t="inlineStr">
        <is>
          <t>Weight
(1-3)</t>
        </is>
      </c>
      <c r="E4" s="8" t="inlineStr">
        <is>
          <t>Status</t>
        </is>
      </c>
      <c r="F4" s="8" t="inlineStr">
        <is>
          <t>Status
score</t>
        </is>
      </c>
      <c r="G4" s="8" t="inlineStr">
        <is>
          <t>Notes / Evidence</t>
        </is>
      </c>
      <c r="H4" s="8" t="inlineStr">
        <is>
          <t>Weighted
score</t>
        </is>
      </c>
      <c r="I4" s="18" t="inlineStr">
        <is>
          <t>Tested?</t>
        </is>
      </c>
      <c r="J4" s="8" t="inlineStr">
        <is>
          <t>Recommended Improvement</t>
        </is>
      </c>
    </row>
    <row r="5">
      <c r="A5" s="10" t="inlineStr">
        <is>
          <t>T1</t>
        </is>
      </c>
      <c r="B5" s="17" t="inlineStr">
        <is>
          <t>Transaction confirmation screen states recipient, amount, currency and fee as one clear announced statement before an irreversible send.</t>
        </is>
      </c>
      <c r="C5" s="39" t="inlineStr">
        <is>
          <t>WCAG 3.3.4; GSMA MM Accessibility Guideline 4.2</t>
        </is>
      </c>
      <c r="D5" s="23" t="n">
        <v>3</v>
      </c>
      <c r="E5" s="43" t="inlineStr">
        <is>
          <t>Fail</t>
        </is>
      </c>
      <c r="F5" s="15">
        <f>IF(E5="Pass",1,IF(E5="Partial",0.5,IF(E5="Fail",0,0)))</f>
        <v/>
      </c>
      <c r="G5" s="34" t="inlineStr">
        <is>
          <t>No pre-send review was observed. Airtime was submitted directly (S2-6 to S2-8). The success sheet does restate '- ₦ 100.00' and the phone number.</t>
        </is>
      </c>
      <c r="H5" s="15">
        <f>D5*F5</f>
        <v/>
      </c>
      <c r="I5" s="15">
        <f>IF(OR(E5="Pass",E5="Partial",E5="Fail"),1,0)</f>
        <v/>
      </c>
      <c r="J5" s="62" t="inlineStr">
        <is>
          <t>Insert a review step stating recipient, amount, currency and fee as one announced statement before sending.</t>
        </is>
      </c>
    </row>
    <row r="6">
      <c r="A6" s="22" t="inlineStr">
        <is>
          <t>T2</t>
        </is>
      </c>
      <c r="B6" s="33" t="inlineStr">
        <is>
          <t>Time allowed to enter an OTP/PIN or confirm a transfer can be extended, and is not so short that assistive-tech input causes failure.</t>
        </is>
      </c>
      <c r="C6" s="46" t="inlineStr">
        <is>
          <t>WCAG 2.2.1; EN 301 549 §11.7</t>
        </is>
      </c>
      <c r="D6" s="42" t="n">
        <v>2</v>
      </c>
      <c r="E6" s="50" t="inlineStr">
        <is>
          <t>Not Tested</t>
        </is>
      </c>
      <c r="F6" s="29">
        <f>IF(E6="Pass",1,IF(E6="Partial",0.5,IF(E6="Fail",0,0)))</f>
        <v/>
      </c>
      <c r="G6" s="45" t="inlineStr">
        <is>
          <t>Requires manual timing test with TalkBack enabled.</t>
        </is>
      </c>
      <c r="H6" s="29">
        <f>D6*F6</f>
        <v/>
      </c>
      <c r="I6" s="29">
        <f>IF(OR(E6="Pass",E6="Partial",E6="Fail"),1,0)</f>
        <v/>
      </c>
      <c r="J6" s="57" t="inlineStr">
        <is>
          <t>No fix to prescribe yet - conduct the manual test first to confirm actual status.</t>
        </is>
      </c>
    </row>
    <row r="7">
      <c r="A7" s="10" t="inlineStr">
        <is>
          <t>T3</t>
        </is>
      </c>
      <c r="B7" s="17" t="inlineStr">
        <is>
          <t>Transaction success or failure is announced non-visually (spoken/haptic), not only as an on-screen toast.</t>
        </is>
      </c>
      <c r="C7" s="39" t="inlineStr">
        <is>
          <t>WCAG 4.1.3; GSMA MM Accessibility Guideline 4.4</t>
        </is>
      </c>
      <c r="D7" s="23" t="n">
        <v>3</v>
      </c>
      <c r="E7" s="50" t="inlineStr">
        <is>
          <t>Not Tested</t>
        </is>
      </c>
      <c r="F7" s="15">
        <f>IF(E7="Pass",1,IF(E7="Partial",0.5,IF(E7="Fail",0,0)))</f>
        <v/>
      </c>
      <c r="G7" s="34" t="inlineStr">
        <is>
          <t>A persistent success sheet appears ('Airtime request successfully submitted', S2-8), not just a toast, which is positive. Announcement was not tested.</t>
        </is>
      </c>
      <c r="H7" s="15">
        <f>D7*F7</f>
        <v/>
      </c>
      <c r="I7" s="15">
        <f>IF(OR(E7="Pass",E7="Partial",E7="Fail"),1,0)</f>
        <v/>
      </c>
      <c r="J7" s="53" t="inlineStr">
        <is>
          <t>No fix to prescribe yet - conduct the manual test first to confirm actual status.</t>
        </is>
      </c>
    </row>
    <row r="8">
      <c r="A8" s="22" t="inlineStr">
        <is>
          <t>T4</t>
        </is>
      </c>
      <c r="B8" s="33" t="inlineStr">
        <is>
          <t>Digital receipts / statements (SMS, email, in-app PDF) are delivered as accessible text, not a flattened image.</t>
        </is>
      </c>
      <c r="C8" s="46" t="inlineStr">
        <is>
          <t>GSMA MM Accessibility Guideline 5.1</t>
        </is>
      </c>
      <c r="D8" s="42" t="n">
        <v>2</v>
      </c>
      <c r="E8" s="50" t="inlineStr">
        <is>
          <t>Not Tested</t>
        </is>
      </c>
      <c r="F8" s="29">
        <f>IF(E8="Pass",1,IF(E8="Partial",0.5,IF(E8="Fail",0,0)))</f>
        <v/>
      </c>
      <c r="G8" s="45" t="inlineStr">
        <is>
          <t>A 'Receipt' button is present on the success sheet (S2-8). Receipt format was not checked.</t>
        </is>
      </c>
      <c r="H8" s="29">
        <f>D8*F8</f>
        <v/>
      </c>
      <c r="I8" s="29">
        <f>IF(OR(E8="Pass",E8="Partial",E8="Fail"),1,0)</f>
        <v/>
      </c>
      <c r="J8" s="57" t="inlineStr">
        <is>
          <t>No fix to prescribe yet - conduct the manual test first to confirm actual status.</t>
        </is>
      </c>
    </row>
    <row r="9">
      <c r="A9" s="10" t="inlineStr">
        <is>
          <t>T5</t>
        </is>
      </c>
      <c r="B9" s="17" t="inlineStr">
        <is>
          <t>Amounts and currency are unambiguous when read aloud (e.g. 'RWF 1,000' is not mis-announced as a date or misread digit-by-digit).</t>
        </is>
      </c>
      <c r="C9" s="39" t="inlineStr">
        <is>
          <t>ITU-T F.921 §6.3</t>
        </is>
      </c>
      <c r="D9" s="23" t="n">
        <v>2</v>
      </c>
      <c r="E9" s="50" t="inlineStr">
        <is>
          <t>Not Tested</t>
        </is>
      </c>
      <c r="F9" s="15">
        <f>IF(E9="Pass",1,IF(E9="Partial",0.5,IF(E9="Fail",0,0)))</f>
        <v/>
      </c>
      <c r="G9" s="34" t="inlineStr">
        <is>
          <t>Formats vary: '₦0.00', '₦1,000', '₦ 5', '- ₦ 100.00'. History rows show no amounts (S1-12).</t>
        </is>
      </c>
      <c r="H9" s="15">
        <f>D9*F9</f>
        <v/>
      </c>
      <c r="I9" s="15">
        <f>IF(OR(E9="Pass",E9="Partial",E9="Fail"),1,0)</f>
        <v/>
      </c>
      <c r="J9" s="53" t="inlineStr">
        <is>
          <t>No fix to prescribe yet - conduct the manual test first to confirm actual status.</t>
        </is>
      </c>
    </row>
    <row r="10">
      <c r="A10" s="22" t="inlineStr">
        <is>
          <t>T6</t>
        </is>
      </c>
      <c r="B10" s="33" t="inlineStr">
        <is>
          <t>A non-touchscreen channel (USSD, IVR, or agent-assisted banking) exists for users who cannot operate a smartphone app, and that channel is itself usable non-visually.</t>
        </is>
      </c>
      <c r="C10" s="46" t="inlineStr">
        <is>
          <t>GSMA MM Accessibility Guideline 2.1; ITU-D digital financial inclusion guidance</t>
        </is>
      </c>
      <c r="D10" s="42" t="n">
        <v>3</v>
      </c>
      <c r="E10" s="50" t="inlineStr">
        <is>
          <t>Not Tested</t>
        </is>
      </c>
      <c r="F10" s="29">
        <f>IF(E10="Pass",1,IF(E10="Partial",0.5,IF(E10="Fail",0,0)))</f>
        <v/>
      </c>
      <c r="G10" s="45" t="inlineStr">
        <is>
          <t>Out of scope for this app-only scan. USSD banking is widely used in Nigeria, and this scorecard has not evaluated that channel at all.</t>
        </is>
      </c>
      <c r="H10" s="29">
        <f>D10*F10</f>
        <v/>
      </c>
      <c r="I10" s="29">
        <f>IF(OR(E10="Pass",E10="Partial",E10="Fail"),1,0)</f>
        <v/>
      </c>
      <c r="J10" s="57" t="inlineStr">
        <is>
          <t>No fix to prescribe yet - conduct the manual test first to confirm actual status.</t>
        </is>
      </c>
    </row>
    <row r="11">
      <c r="A11" s="10" t="inlineStr">
        <is>
          <t>T7</t>
        </is>
      </c>
      <c r="B11" s="17" t="inlineStr">
        <is>
          <t>Biometric login is offered as an alternative to a spoken/visible PIN.</t>
        </is>
      </c>
      <c r="C11" s="39" t="inlineStr">
        <is>
          <t>WCAG 3.3.7/3.3.8</t>
        </is>
      </c>
      <c r="D11" s="23" t="n">
        <v>2</v>
      </c>
      <c r="E11" s="50" t="inlineStr">
        <is>
          <t>Not Tested</t>
        </is>
      </c>
      <c r="F11" s="15">
        <f>IF(E11="Pass",1,IF(E11="Partial",0.5,IF(E11="Fail",0,0)))</f>
        <v/>
      </c>
      <c r="G11" s="34" t="inlineStr">
        <is>
          <t>No login screen captured; biometric option not observed.</t>
        </is>
      </c>
      <c r="H11" s="15">
        <f>D11*F11</f>
        <v/>
      </c>
      <c r="I11" s="15">
        <f>IF(OR(E11="Pass",E11="Partial",E11="Fail"),1,0)</f>
        <v/>
      </c>
      <c r="J11" s="53" t="inlineStr">
        <is>
          <t>No fix to prescribe yet - conduct the manual test first to confirm actual status.</t>
        </is>
      </c>
    </row>
    <row r="12">
      <c r="A12" s="22" t="inlineStr">
        <is>
          <t>T8</t>
        </is>
      </c>
      <c r="B12" s="33" t="inlineStr">
        <is>
          <t>Fraud/security alerts and a dispute or help-escalation path are reachable and readable with a screen reader.</t>
        </is>
      </c>
      <c r="C12" s="46" t="inlineStr">
        <is>
          <t>EN 301 549 §11.8; GSMA MM Accessibility Guideline 4.5</t>
        </is>
      </c>
      <c r="D12" s="42" t="n">
        <v>2</v>
      </c>
      <c r="E12" s="43" t="inlineStr">
        <is>
          <t>Not Tested</t>
        </is>
      </c>
      <c r="F12" s="29">
        <f>IF(E12="Pass",1,IF(E12="Partial",0.5,IF(E12="Fail",0,0)))</f>
        <v/>
      </c>
      <c r="G12" s="45" t="inlineStr">
        <is>
          <t>No fraud-alert, dispute or help path observed in the captured screens.</t>
        </is>
      </c>
      <c r="H12" s="29">
        <f>D12*F12</f>
        <v/>
      </c>
      <c r="I12" s="29">
        <f>IF(OR(E12="Pass",E12="Partial",E12="Fail"),1,0)</f>
        <v/>
      </c>
      <c r="J12" s="47" t="inlineStr">
        <is>
          <t>No fix to prescribe yet - conduct the manual test first to confirm actual status.</t>
        </is>
      </c>
    </row>
    <row r="13">
      <c r="A13" s="10" t="inlineStr">
        <is>
          <t>T9</t>
        </is>
      </c>
      <c r="B13" s="17" t="inlineStr">
        <is>
          <t>Transaction limits, fees and exchange rates are disclosed as accessible text before confirmation, not only visually.</t>
        </is>
      </c>
      <c r="C13" s="39" t="inlineStr">
        <is>
          <t>WCAG 3.3.4; consumer-protection disclosure norms (e.g. AFI / GSMA)</t>
        </is>
      </c>
      <c r="D13" s="23" t="n">
        <v>3</v>
      </c>
      <c r="E13" s="43" t="inlineStr">
        <is>
          <t>Fail</t>
        </is>
      </c>
      <c r="F13" s="15">
        <f>IF(E13="Pass",1,IF(E13="Partial",0.5,IF(E13="Fail",0,0)))</f>
        <v/>
      </c>
      <c r="G13" s="34" t="inlineStr">
        <is>
          <t>No fee is shown before submission on the transfer or airtime forms. 'Commission On Nip' and 'Vatcharges' only appear later as separate history rows (S1-12).</t>
        </is>
      </c>
      <c r="H13" s="15">
        <f>D13*F13</f>
        <v/>
      </c>
      <c r="I13" s="15">
        <f>IF(OR(E13="Pass",E13="Partial",E13="Fail"),1,0)</f>
        <v/>
      </c>
      <c r="J13" s="62" t="inlineStr">
        <is>
          <t>Disclose the fee and VAT on the review step, as labelled accessible text, before confirmation.</t>
        </is>
      </c>
    </row>
    <row r="14">
      <c r="A14" s="22" t="inlineStr">
        <is>
          <t>T10</t>
        </is>
      </c>
      <c r="B14" s="33" t="inlineStr">
        <is>
          <t>A multi-step transaction does not require re-entering the same information (e.g. phone number typed once, reused for confirmation).</t>
        </is>
      </c>
      <c r="C14" s="46" t="inlineStr">
        <is>
          <t>WCAG 3.3.9</t>
        </is>
      </c>
      <c r="D14" s="42" t="n">
        <v>1</v>
      </c>
      <c r="E14" s="50" t="inlineStr">
        <is>
          <t>Not Tested</t>
        </is>
      </c>
      <c r="F14" s="29">
        <f>IF(E14="Pass",1,IF(E14="Partial",0.5,IF(E14="Fail",0,0)))</f>
        <v/>
      </c>
      <c r="G14" s="45" t="inlineStr">
        <is>
          <t>Saved / Contacts tabs and search are present (S1-2, S3-1).</t>
        </is>
      </c>
      <c r="H14" s="29">
        <f>D14*F14</f>
        <v/>
      </c>
      <c r="I14" s="29">
        <f>IF(OR(E14="Pass",E14="Partial",E14="Fail"),1,0)</f>
        <v/>
      </c>
      <c r="J14" s="57" t="inlineStr">
        <is>
          <t>No fix to prescribe yet - conduct the manual test first to confirm actual status.</t>
        </is>
      </c>
    </row>
    <row r="15">
      <c r="A15" s="10" t="inlineStr">
        <is>
          <t>T11</t>
        </is>
      </c>
      <c r="B15" s="17" t="inlineStr">
        <is>
          <t>Switching app language does not reset or lose an in-progress transaction, and the switcher itself is screen-reader accessible.</t>
        </is>
      </c>
      <c r="C15" s="39" t="inlineStr">
        <is>
          <t>WCAG 3.1.2; EN 301 549 §11.9</t>
        </is>
      </c>
      <c r="D15" s="23" t="n">
        <v>1</v>
      </c>
      <c r="E15" s="50" t="inlineStr">
        <is>
          <t>Not Tested</t>
        </is>
      </c>
      <c r="F15" s="15">
        <f>IF(E15="Pass",1,IF(E15="Partial",0.5,IF(E15="Fail",0,0)))</f>
        <v/>
      </c>
      <c r="G15" s="34" t="inlineStr">
        <is>
          <t>No language selector observed.</t>
        </is>
      </c>
      <c r="H15" s="15">
        <f>D15*F15</f>
        <v/>
      </c>
      <c r="I15" s="15">
        <f>IF(OR(E15="Pass",E15="Partial",E15="Fail"),1,0)</f>
        <v/>
      </c>
      <c r="J15" s="53" t="inlineStr">
        <is>
          <t>No fix to prescribe yet - conduct the manual test first to confirm actual status.</t>
        </is>
      </c>
    </row>
    <row r="16">
      <c r="A16" s="22" t="inlineStr">
        <is>
          <t>T12</t>
        </is>
      </c>
      <c r="B16" s="33" t="inlineStr">
        <is>
          <t>An accessible-format customer support channel (toll-free voice line, etc.) is discoverable for a user who cannot complete a transaction independently.</t>
        </is>
      </c>
      <c r="C16" s="46" t="inlineStr">
        <is>
          <t>GSMA MM Accessibility Guideline 4.5</t>
        </is>
      </c>
      <c r="D16" s="42" t="n">
        <v>2</v>
      </c>
      <c r="E16" s="54" t="inlineStr">
        <is>
          <t>Not Tested</t>
        </is>
      </c>
      <c r="F16" s="29">
        <f>IF(E16="Pass",1,IF(E16="Partial",0.5,IF(E16="Fail",0,0)))</f>
        <v/>
      </c>
      <c r="G16" s="45" t="inlineStr">
        <is>
          <t>No call, email or chat support entry point was observed in the captured screens.</t>
        </is>
      </c>
      <c r="H16" s="29">
        <f>D16*F16</f>
        <v/>
      </c>
      <c r="I16" s="29">
        <f>IF(OR(E16="Pass",E16="Partial",E16="Fail"),1,0)</f>
        <v/>
      </c>
      <c r="J16" s="57" t="inlineStr">
        <is>
          <t>No fix to prescribe yet - conduct the manual test first to confirm actual status.</t>
        </is>
      </c>
    </row>
    <row r="18">
      <c r="A18" s="98" t="inlineStr">
        <is>
          <t>TRANSACTION ACCESSIBILITY SCORE</t>
        </is>
      </c>
      <c r="B18" s="92" t="n"/>
      <c r="C18" s="92" t="n"/>
      <c r="D18" s="93" t="n"/>
    </row>
    <row r="19">
      <c r="A19" s="94" t="inlineStr">
        <is>
          <t>Weighted score achieved (sum)</t>
        </is>
      </c>
      <c r="B19" s="92" t="n"/>
      <c r="C19" s="93" t="n"/>
      <c r="D19" s="29">
        <f>SUM(H5:H16)</f>
        <v/>
      </c>
      <c r="E19" s="93" t="n"/>
    </row>
    <row r="20">
      <c r="A20" s="94" t="inlineStr">
        <is>
          <t>Weighted score possible (tested only)</t>
        </is>
      </c>
      <c r="B20" s="92" t="n"/>
      <c r="C20" s="93" t="n"/>
      <c r="D20" s="29">
        <f>SUMPRODUCT(I5:I16*D5:D16)</f>
        <v/>
      </c>
      <c r="E20" s="93" t="n"/>
    </row>
    <row r="21" ht="15.75" customHeight="1" s="78">
      <c r="A21" s="99" t="inlineStr">
        <is>
          <t>TRANSACTION SCORE (0-100)</t>
        </is>
      </c>
      <c r="B21" s="92" t="n"/>
      <c r="C21" s="93" t="n"/>
      <c r="D21" s="96">
        <f>IFERROR(D19/D20*100,0)</f>
        <v/>
      </c>
      <c r="E21" s="93" t="n"/>
    </row>
    <row r="22" ht="15.75" customHeight="1" s="78">
      <c r="A22" s="94" t="inlineStr">
        <is>
          <t>Checks not yet tested (count)</t>
        </is>
      </c>
      <c r="B22" s="92" t="n"/>
      <c r="C22" s="93" t="n"/>
      <c r="D22" s="29">
        <f>COUNTIF(E5:E16,"Not Tested")</f>
        <v/>
      </c>
      <c r="E22" s="93" t="n"/>
    </row>
    <row r="23" ht="15.75" customHeight="1" s="78"/>
    <row r="24" ht="15.75" customHeight="1" s="78"/>
    <row r="25" ht="15.75" customHeight="1" s="78"/>
    <row r="26" ht="15.75" customHeight="1" s="78"/>
    <row r="27" ht="15.75" customHeight="1" s="78"/>
    <row r="28" ht="15.75" customHeight="1" s="78"/>
    <row r="29" ht="15.75" customHeight="1" s="78"/>
    <row r="30" ht="15.75" customHeight="1" s="78"/>
    <row r="31" ht="15.75" customHeight="1" s="78"/>
    <row r="32" ht="15.75" customHeight="1" s="78"/>
    <row r="33" ht="15.75" customHeight="1" s="78"/>
    <row r="34" ht="15.75" customHeight="1" s="78"/>
    <row r="35" ht="15.75" customHeight="1" s="78"/>
    <row r="36" ht="15.75" customHeight="1" s="78"/>
    <row r="37" ht="15.75" customHeight="1" s="78"/>
    <row r="38" ht="15.75" customHeight="1" s="78"/>
    <row r="39" ht="15.75" customHeight="1" s="78"/>
    <row r="40" ht="15.75" customHeight="1" s="78"/>
    <row r="41" ht="15.75" customHeight="1" s="78"/>
    <row r="42" ht="15.75" customHeight="1" s="78"/>
    <row r="43" ht="15.75" customHeight="1" s="78"/>
    <row r="44" ht="15.75" customHeight="1" s="78"/>
    <row r="45" ht="15.75" customHeight="1" s="78"/>
    <row r="46" ht="15.75" customHeight="1" s="78"/>
    <row r="47" ht="15.75" customHeight="1" s="78"/>
    <row r="48" ht="15.75" customHeight="1" s="78"/>
    <row r="49" ht="15.75" customHeight="1" s="78"/>
    <row r="50" ht="15.75" customHeight="1" s="78"/>
    <row r="51" ht="15.75" customHeight="1" s="78"/>
    <row r="52" ht="15.75" customHeight="1" s="78"/>
    <row r="53" ht="15.75" customHeight="1" s="78"/>
    <row r="54" ht="15.75" customHeight="1" s="78"/>
    <row r="55" ht="15.75" customHeight="1" s="78"/>
    <row r="56" ht="15.75" customHeight="1" s="78"/>
    <row r="57" ht="15.75" customHeight="1" s="78"/>
    <row r="58" ht="15.75" customHeight="1" s="78"/>
    <row r="59" ht="15.75" customHeight="1" s="78"/>
    <row r="60" ht="15.75" customHeight="1" s="78"/>
    <row r="61" ht="15.75" customHeight="1" s="78"/>
    <row r="62" ht="15.75" customHeight="1" s="78"/>
    <row r="63" ht="15.75" customHeight="1" s="78"/>
    <row r="64" ht="15.75" customHeight="1" s="78"/>
    <row r="65" ht="15.75" customHeight="1" s="78"/>
    <row r="66" ht="15.75" customHeight="1" s="78"/>
    <row r="67" ht="15.75" customHeight="1" s="78"/>
    <row r="68" ht="15.75" customHeight="1" s="78"/>
    <row r="69" ht="15.75" customHeight="1" s="78"/>
    <row r="70" ht="15.75" customHeight="1" s="78"/>
    <row r="71" ht="15.75" customHeight="1" s="78"/>
    <row r="72" ht="15.75" customHeight="1" s="78"/>
    <row r="73" ht="15.75" customHeight="1" s="78"/>
    <row r="74" ht="15.75" customHeight="1" s="78"/>
    <row r="75" ht="15.75" customHeight="1" s="78"/>
    <row r="76" ht="15.75" customHeight="1" s="78"/>
    <row r="77" ht="15.75" customHeight="1" s="78"/>
    <row r="78" ht="15.75" customHeight="1" s="78"/>
    <row r="79" ht="15.75" customHeight="1" s="78"/>
    <row r="80" ht="15.75" customHeight="1" s="78"/>
    <row r="81" ht="15.75" customHeight="1" s="78"/>
    <row r="82" ht="15.75" customHeight="1" s="78"/>
    <row r="83" ht="15.75" customHeight="1" s="78"/>
    <row r="84" ht="15.75" customHeight="1" s="78"/>
    <row r="85" ht="15.75" customHeight="1" s="78"/>
    <row r="86" ht="15.75" customHeight="1" s="78"/>
    <row r="87" ht="15.75" customHeight="1" s="78"/>
    <row r="88" ht="15.75" customHeight="1" s="78"/>
    <row r="89" ht="15.75" customHeight="1" s="78"/>
    <row r="90" ht="15.75" customHeight="1" s="78"/>
    <row r="91" ht="15.75" customHeight="1" s="78"/>
    <row r="92" ht="15.75" customHeight="1" s="78"/>
    <row r="93" ht="15.75" customHeight="1" s="78"/>
    <row r="94" ht="15.75" customHeight="1" s="78"/>
    <row r="95" ht="15.75" customHeight="1" s="78"/>
    <row r="96" ht="15.75" customHeight="1" s="78"/>
    <row r="97" ht="15.75" customHeight="1" s="78"/>
    <row r="98" ht="15.75" customHeight="1" s="78"/>
    <row r="99" ht="15.75" customHeight="1" s="78"/>
    <row r="100" ht="15.75" customHeight="1" s="78"/>
    <row r="101" ht="15.75" customHeight="1" s="78"/>
    <row r="102" ht="15.75" customHeight="1" s="78"/>
    <row r="103" ht="15.75" customHeight="1" s="78"/>
    <row r="104" ht="15.75" customHeight="1" s="78"/>
    <row r="105" ht="15.75" customHeight="1" s="78"/>
    <row r="106" ht="15.75" customHeight="1" s="78"/>
    <row r="107" ht="15.75" customHeight="1" s="78"/>
    <row r="108" ht="15.75" customHeight="1" s="78"/>
    <row r="109" ht="15.75" customHeight="1" s="78"/>
    <row r="110" ht="15.75" customHeight="1" s="78"/>
    <row r="111" ht="15.75" customHeight="1" s="78"/>
    <row r="112" ht="15.75" customHeight="1" s="78"/>
    <row r="113" ht="15.75" customHeight="1" s="78"/>
    <row r="114" ht="15.75" customHeight="1" s="78"/>
    <row r="115" ht="15.75" customHeight="1" s="78"/>
    <row r="116" ht="15.75" customHeight="1" s="78"/>
    <row r="117" ht="15.75" customHeight="1" s="78"/>
    <row r="118" ht="15.75" customHeight="1" s="78"/>
    <row r="119" ht="15.75" customHeight="1" s="78"/>
    <row r="120" ht="15.75" customHeight="1" s="78"/>
    <row r="121" ht="15.75" customHeight="1" s="78"/>
    <row r="122" ht="15.75" customHeight="1" s="78"/>
    <row r="123" ht="15.75" customHeight="1" s="78"/>
    <row r="124" ht="15.75" customHeight="1" s="78"/>
    <row r="125" ht="15.75" customHeight="1" s="78"/>
    <row r="126" ht="15.75" customHeight="1" s="78"/>
    <row r="127" ht="15.75" customHeight="1" s="78"/>
    <row r="128" ht="15.75" customHeight="1" s="78"/>
    <row r="129" ht="15.75" customHeight="1" s="78"/>
    <row r="130" ht="15.75" customHeight="1" s="78"/>
    <row r="131" ht="15.75" customHeight="1" s="78"/>
    <row r="132" ht="15.75" customHeight="1" s="78"/>
    <row r="133" ht="15.75" customHeight="1" s="78"/>
    <row r="134" ht="15.75" customHeight="1" s="78"/>
    <row r="135" ht="15.75" customHeight="1" s="78"/>
    <row r="136" ht="15.75" customHeight="1" s="78"/>
    <row r="137" ht="15.75" customHeight="1" s="78"/>
    <row r="138" ht="15.75" customHeight="1" s="78"/>
    <row r="139" ht="15.75" customHeight="1" s="78"/>
    <row r="140" ht="15.75" customHeight="1" s="78"/>
    <row r="141" ht="15.75" customHeight="1" s="78"/>
    <row r="142" ht="15.75" customHeight="1" s="78"/>
    <row r="143" ht="15.75" customHeight="1" s="78"/>
    <row r="144" ht="15.75" customHeight="1" s="78"/>
    <row r="145" ht="15.75" customHeight="1" s="78"/>
    <row r="146" ht="15.75" customHeight="1" s="78"/>
    <row r="147" ht="15.75" customHeight="1" s="78"/>
    <row r="148" ht="15.75" customHeight="1" s="78"/>
    <row r="149" ht="15.75" customHeight="1" s="78"/>
    <row r="150" ht="15.75" customHeight="1" s="78"/>
    <row r="151" ht="15.75" customHeight="1" s="78"/>
    <row r="152" ht="15.75" customHeight="1" s="78"/>
    <row r="153" ht="15.75" customHeight="1" s="78"/>
    <row r="154" ht="15.75" customHeight="1" s="78"/>
    <row r="155" ht="15.75" customHeight="1" s="78"/>
    <row r="156" ht="15.75" customHeight="1" s="78"/>
    <row r="157" ht="15.75" customHeight="1" s="78"/>
    <row r="158" ht="15.75" customHeight="1" s="78"/>
    <row r="159" ht="15.75" customHeight="1" s="78"/>
    <row r="160" ht="15.75" customHeight="1" s="78"/>
    <row r="161" ht="15.75" customHeight="1" s="78"/>
    <row r="162" ht="15.75" customHeight="1" s="78"/>
    <row r="163" ht="15.75" customHeight="1" s="78"/>
    <row r="164" ht="15.75" customHeight="1" s="78"/>
    <row r="165" ht="15.75" customHeight="1" s="78"/>
    <row r="166" ht="15.75" customHeight="1" s="78"/>
    <row r="167" ht="15.75" customHeight="1" s="78"/>
    <row r="168" ht="15.75" customHeight="1" s="78"/>
    <row r="169" ht="15.75" customHeight="1" s="78"/>
    <row r="170" ht="15.75" customHeight="1" s="78"/>
    <row r="171" ht="15.75" customHeight="1" s="78"/>
    <row r="172" ht="15.75" customHeight="1" s="78"/>
    <row r="173" ht="15.75" customHeight="1" s="78"/>
    <row r="174" ht="15.75" customHeight="1" s="78"/>
    <row r="175" ht="15.75" customHeight="1" s="78"/>
    <row r="176" ht="15.75" customHeight="1" s="78"/>
    <row r="177" ht="15.75" customHeight="1" s="78"/>
    <row r="178" ht="15.75" customHeight="1" s="78"/>
    <row r="179" ht="15.75" customHeight="1" s="78"/>
    <row r="180" ht="15.75" customHeight="1" s="78"/>
    <row r="181" ht="15.75" customHeight="1" s="78"/>
    <row r="182" ht="15.75" customHeight="1" s="78"/>
    <row r="183" ht="15.75" customHeight="1" s="78"/>
    <row r="184" ht="15.75" customHeight="1" s="78"/>
    <row r="185" ht="15.75" customHeight="1" s="78"/>
    <row r="186" ht="15.75" customHeight="1" s="78"/>
    <row r="187" ht="15.75" customHeight="1" s="78"/>
    <row r="188" ht="15.75" customHeight="1" s="78"/>
    <row r="189" ht="15.75" customHeight="1" s="78"/>
    <row r="190" ht="15.75" customHeight="1" s="78"/>
    <row r="191" ht="15.75" customHeight="1" s="78"/>
    <row r="192" ht="15.75" customHeight="1" s="78"/>
    <row r="193" ht="15.75" customHeight="1" s="78"/>
    <row r="194" ht="15.75" customHeight="1" s="78"/>
    <row r="195" ht="15.75" customHeight="1" s="78"/>
    <row r="196" ht="15.75" customHeight="1" s="78"/>
    <row r="197" ht="15.75" customHeight="1" s="78"/>
    <row r="198" ht="15.75" customHeight="1" s="78"/>
    <row r="199" ht="15.75" customHeight="1" s="78"/>
    <row r="200" ht="15.75" customHeight="1" s="78"/>
    <row r="201" ht="15.75" customHeight="1" s="78"/>
    <row r="202" ht="15.75" customHeight="1" s="78"/>
    <row r="203" ht="15.75" customHeight="1" s="78"/>
    <row r="204" ht="15.75" customHeight="1" s="78"/>
    <row r="205" ht="15.75" customHeight="1" s="78"/>
    <row r="206" ht="15.75" customHeight="1" s="78"/>
    <row r="207" ht="15.75" customHeight="1" s="78"/>
    <row r="208" ht="15.75" customHeight="1" s="78"/>
    <row r="209" ht="15.75" customHeight="1" s="78"/>
    <row r="210" ht="15.75" customHeight="1" s="78"/>
    <row r="211" ht="15.75" customHeight="1" s="78"/>
    <row r="212" ht="15.75" customHeight="1" s="78"/>
    <row r="213" ht="15.75" customHeight="1" s="78"/>
    <row r="214" ht="15.75" customHeight="1" s="78"/>
    <row r="215" ht="15.75" customHeight="1" s="78"/>
    <row r="216" ht="15.75" customHeight="1" s="78"/>
    <row r="217" ht="15.75" customHeight="1" s="78"/>
    <row r="218" ht="15.75" customHeight="1" s="78"/>
    <row r="219" ht="15.75" customHeight="1" s="78"/>
    <row r="220" ht="15.75" customHeight="1" s="78"/>
    <row r="221" ht="15.75" customHeight="1" s="78"/>
    <row r="222" ht="15.75" customHeight="1" s="78"/>
    <row r="223" ht="15.75" customHeight="1" s="78"/>
    <row r="224" ht="15.75" customHeight="1" s="78"/>
    <row r="225" ht="15.75" customHeight="1" s="78"/>
    <row r="226" ht="15.75" customHeight="1" s="78"/>
    <row r="227" ht="15.75" customHeight="1" s="78"/>
    <row r="228" ht="15.75" customHeight="1" s="78"/>
    <row r="229" ht="15.75" customHeight="1" s="78"/>
    <row r="230" ht="15.75" customHeight="1" s="78"/>
    <row r="231" ht="15.75" customHeight="1" s="78"/>
    <row r="232" ht="15.75" customHeight="1" s="78"/>
    <row r="233" ht="15.75" customHeight="1" s="78"/>
    <row r="234" ht="15.75" customHeight="1" s="78"/>
    <row r="235" ht="15.75" customHeight="1" s="78"/>
    <row r="236" ht="15.75" customHeight="1" s="78"/>
    <row r="237" ht="15.75" customHeight="1" s="78"/>
    <row r="238" ht="15.75" customHeight="1" s="78"/>
    <row r="239" ht="15.75" customHeight="1" s="78"/>
    <row r="240" ht="15.75" customHeight="1" s="78"/>
    <row r="241" ht="15.75" customHeight="1" s="78"/>
    <row r="242" ht="15.75" customHeight="1" s="78"/>
    <row r="243" ht="15.75" customHeight="1" s="78"/>
    <row r="244" ht="15.75" customHeight="1" s="78"/>
    <row r="245" ht="15.75" customHeight="1" s="78"/>
    <row r="246" ht="15.75" customHeight="1" s="78"/>
    <row r="247" ht="15.75" customHeight="1" s="78"/>
    <row r="248" ht="15.75" customHeight="1" s="78"/>
    <row r="249" ht="15.75" customHeight="1" s="78"/>
    <row r="250" ht="15.75" customHeight="1" s="78"/>
    <row r="251" ht="15.75" customHeight="1" s="78"/>
    <row r="252" ht="15.75" customHeight="1" s="78"/>
    <row r="253" ht="15.75" customHeight="1" s="78"/>
    <row r="254" ht="15.75" customHeight="1" s="78"/>
    <row r="255" ht="15.75" customHeight="1" s="78"/>
    <row r="256" ht="15.75" customHeight="1" s="78"/>
    <row r="257" ht="15.75" customHeight="1" s="78"/>
    <row r="258" ht="15.75" customHeight="1" s="78"/>
    <row r="259" ht="15.75" customHeight="1" s="78"/>
    <row r="260" ht="15.75" customHeight="1" s="78"/>
    <row r="261" ht="15.75" customHeight="1" s="78"/>
    <row r="262" ht="15.75" customHeight="1" s="78"/>
    <row r="263" ht="15.75" customHeight="1" s="78"/>
    <row r="264" ht="15.75" customHeight="1" s="78"/>
    <row r="265" ht="15.75" customHeight="1" s="78"/>
    <row r="266" ht="15.75" customHeight="1" s="78"/>
    <row r="267" ht="15.75" customHeight="1" s="78"/>
    <row r="268" ht="15.75" customHeight="1" s="78"/>
    <row r="269" ht="15.75" customHeight="1" s="78"/>
    <row r="270" ht="15.75" customHeight="1" s="78"/>
    <row r="271" ht="15.75" customHeight="1" s="78"/>
    <row r="272" ht="15.75" customHeight="1" s="78"/>
    <row r="273" ht="15.75" customHeight="1" s="78"/>
    <row r="274" ht="15.75" customHeight="1" s="78"/>
    <row r="275" ht="15.75" customHeight="1" s="78"/>
    <row r="276" ht="15.75" customHeight="1" s="78"/>
    <row r="277" ht="15.75" customHeight="1" s="78"/>
    <row r="278" ht="15.75" customHeight="1" s="78"/>
    <row r="279" ht="15.75" customHeight="1" s="78"/>
    <row r="280" ht="15.75" customHeight="1" s="78"/>
    <row r="281" ht="15.75" customHeight="1" s="78"/>
    <row r="282" ht="15.75" customHeight="1" s="78"/>
    <row r="283" ht="15.75" customHeight="1" s="78"/>
    <row r="284" ht="15.75" customHeight="1" s="78"/>
    <row r="285" ht="15.75" customHeight="1" s="78"/>
    <row r="286" ht="15.75" customHeight="1" s="78"/>
    <row r="287" ht="15.75" customHeight="1" s="78"/>
    <row r="288" ht="15.75" customHeight="1" s="78"/>
    <row r="289" ht="15.75" customHeight="1" s="78"/>
    <row r="290" ht="15.75" customHeight="1" s="78"/>
    <row r="291" ht="15.75" customHeight="1" s="78"/>
    <row r="292" ht="15.75" customHeight="1" s="78"/>
    <row r="293" ht="15.75" customHeight="1" s="78"/>
    <row r="294" ht="15.75" customHeight="1" s="78"/>
    <row r="295" ht="15.75" customHeight="1" s="78"/>
    <row r="296" ht="15.75" customHeight="1" s="78"/>
    <row r="297" ht="15.75" customHeight="1" s="78"/>
    <row r="298" ht="15.75" customHeight="1" s="78"/>
    <row r="299" ht="15.75" customHeight="1" s="78"/>
    <row r="300" ht="15.75" customHeight="1" s="78"/>
    <row r="301" ht="15.75" customHeight="1" s="78"/>
    <row r="302" ht="15.75" customHeight="1" s="78"/>
    <row r="303" ht="15.75" customHeight="1" s="78"/>
    <row r="304" ht="15.75" customHeight="1" s="78"/>
    <row r="305" ht="15.75" customHeight="1" s="78"/>
    <row r="306" ht="15.75" customHeight="1" s="78"/>
    <row r="307" ht="15.75" customHeight="1" s="78"/>
    <row r="308" ht="15.75" customHeight="1" s="78"/>
    <row r="309" ht="15.75" customHeight="1" s="78"/>
    <row r="310" ht="15.75" customHeight="1" s="78"/>
    <row r="311" ht="15.75" customHeight="1" s="78"/>
    <row r="312" ht="15.75" customHeight="1" s="78"/>
    <row r="313" ht="15.75" customHeight="1" s="78"/>
    <row r="314" ht="15.75" customHeight="1" s="78"/>
    <row r="315" ht="15.75" customHeight="1" s="78"/>
    <row r="316" ht="15.75" customHeight="1" s="78"/>
    <row r="317" ht="15.75" customHeight="1" s="78"/>
    <row r="318" ht="15.75" customHeight="1" s="78"/>
    <row r="319" ht="15.75" customHeight="1" s="78"/>
    <row r="320" ht="15.75" customHeight="1" s="78"/>
    <row r="321" ht="15.75" customHeight="1" s="78"/>
    <row r="322" ht="15.75" customHeight="1" s="78"/>
    <row r="323" ht="15.75" customHeight="1" s="78"/>
    <row r="324" ht="15.75" customHeight="1" s="78"/>
    <row r="325" ht="15.75" customHeight="1" s="78"/>
    <row r="326" ht="15.75" customHeight="1" s="78"/>
    <row r="327" ht="15.75" customHeight="1" s="78"/>
    <row r="328" ht="15.75" customHeight="1" s="78"/>
    <row r="329" ht="15.75" customHeight="1" s="78"/>
    <row r="330" ht="15.75" customHeight="1" s="78"/>
    <row r="331" ht="15.75" customHeight="1" s="78"/>
    <row r="332" ht="15.75" customHeight="1" s="78"/>
    <row r="333" ht="15.75" customHeight="1" s="78"/>
    <row r="334" ht="15.75" customHeight="1" s="78"/>
    <row r="335" ht="15.75" customHeight="1" s="78"/>
    <row r="336" ht="15.75" customHeight="1" s="78"/>
    <row r="337" ht="15.75" customHeight="1" s="78"/>
    <row r="338" ht="15.75" customHeight="1" s="78"/>
    <row r="339" ht="15.75" customHeight="1" s="78"/>
    <row r="340" ht="15.75" customHeight="1" s="78"/>
    <row r="341" ht="15.75" customHeight="1" s="78"/>
    <row r="342" ht="15.75" customHeight="1" s="78"/>
    <row r="343" ht="15.75" customHeight="1" s="78"/>
    <row r="344" ht="15.75" customHeight="1" s="78"/>
    <row r="345" ht="15.75" customHeight="1" s="78"/>
    <row r="346" ht="15.75" customHeight="1" s="78"/>
    <row r="347" ht="15.75" customHeight="1" s="78"/>
    <row r="348" ht="15.75" customHeight="1" s="78"/>
    <row r="349" ht="15.75" customHeight="1" s="78"/>
    <row r="350" ht="15.75" customHeight="1" s="78"/>
    <row r="351" ht="15.75" customHeight="1" s="78"/>
    <row r="352" ht="15.75" customHeight="1" s="78"/>
    <row r="353" ht="15.75" customHeight="1" s="78"/>
    <row r="354" ht="15.75" customHeight="1" s="78"/>
    <row r="355" ht="15.75" customHeight="1" s="78"/>
    <row r="356" ht="15.75" customHeight="1" s="78"/>
    <row r="357" ht="15.75" customHeight="1" s="78"/>
    <row r="358" ht="15.75" customHeight="1" s="78"/>
    <row r="359" ht="15.75" customHeight="1" s="78"/>
    <row r="360" ht="15.75" customHeight="1" s="78"/>
    <row r="361" ht="15.75" customHeight="1" s="78"/>
    <row r="362" ht="15.75" customHeight="1" s="78"/>
    <row r="363" ht="15.75" customHeight="1" s="78"/>
    <row r="364" ht="15.75" customHeight="1" s="78"/>
    <row r="365" ht="15.75" customHeight="1" s="78"/>
    <row r="366" ht="15.75" customHeight="1" s="78"/>
    <row r="367" ht="15.75" customHeight="1" s="78"/>
    <row r="368" ht="15.75" customHeight="1" s="78"/>
    <row r="369" ht="15.75" customHeight="1" s="78"/>
    <row r="370" ht="15.75" customHeight="1" s="78"/>
    <row r="371" ht="15.75" customHeight="1" s="78"/>
    <row r="372" ht="15.75" customHeight="1" s="78"/>
    <row r="373" ht="15.75" customHeight="1" s="78"/>
    <row r="374" ht="15.75" customHeight="1" s="78"/>
    <row r="375" ht="15.75" customHeight="1" s="78"/>
    <row r="376" ht="15.75" customHeight="1" s="78"/>
    <row r="377" ht="15.75" customHeight="1" s="78"/>
    <row r="378" ht="15.75" customHeight="1" s="78"/>
    <row r="379" ht="15.75" customHeight="1" s="78"/>
    <row r="380" ht="15.75" customHeight="1" s="78"/>
    <row r="381" ht="15.75" customHeight="1" s="78"/>
    <row r="382" ht="15.75" customHeight="1" s="78"/>
    <row r="383" ht="15.75" customHeight="1" s="78"/>
    <row r="384" ht="15.75" customHeight="1" s="78"/>
    <row r="385" ht="15.75" customHeight="1" s="78"/>
    <row r="386" ht="15.75" customHeight="1" s="78"/>
    <row r="387" ht="15.75" customHeight="1" s="78"/>
    <row r="388" ht="15.75" customHeight="1" s="78"/>
    <row r="389" ht="15.75" customHeight="1" s="78"/>
    <row r="390" ht="15.75" customHeight="1" s="78"/>
    <row r="391" ht="15.75" customHeight="1" s="78"/>
    <row r="392" ht="15.75" customHeight="1" s="78"/>
    <row r="393" ht="15.75" customHeight="1" s="78"/>
    <row r="394" ht="15.75" customHeight="1" s="78"/>
    <row r="395" ht="15.75" customHeight="1" s="78"/>
    <row r="396" ht="15.75" customHeight="1" s="78"/>
    <row r="397" ht="15.75" customHeight="1" s="78"/>
    <row r="398" ht="15.75" customHeight="1" s="78"/>
    <row r="399" ht="15.75" customHeight="1" s="78"/>
    <row r="400" ht="15.75" customHeight="1" s="78"/>
    <row r="401" ht="15.75" customHeight="1" s="78"/>
    <row r="402" ht="15.75" customHeight="1" s="78"/>
    <row r="403" ht="15.75" customHeight="1" s="78"/>
    <row r="404" ht="15.75" customHeight="1" s="78"/>
    <row r="405" ht="15.75" customHeight="1" s="78"/>
    <row r="406" ht="15.75" customHeight="1" s="78"/>
    <row r="407" ht="15.75" customHeight="1" s="78"/>
    <row r="408" ht="15.75" customHeight="1" s="78"/>
    <row r="409" ht="15.75" customHeight="1" s="78"/>
    <row r="410" ht="15.75" customHeight="1" s="78"/>
    <row r="411" ht="15.75" customHeight="1" s="78"/>
    <row r="412" ht="15.75" customHeight="1" s="78"/>
    <row r="413" ht="15.75" customHeight="1" s="78"/>
    <row r="414" ht="15.75" customHeight="1" s="78"/>
    <row r="415" ht="15.75" customHeight="1" s="78"/>
    <row r="416" ht="15.75" customHeight="1" s="78"/>
    <row r="417" ht="15.75" customHeight="1" s="78"/>
    <row r="418" ht="15.75" customHeight="1" s="78"/>
    <row r="419" ht="15.75" customHeight="1" s="78"/>
    <row r="420" ht="15.75" customHeight="1" s="78"/>
    <row r="421" ht="15.75" customHeight="1" s="78"/>
    <row r="422" ht="15.75" customHeight="1" s="78"/>
    <row r="423" ht="15.75" customHeight="1" s="78"/>
    <row r="424" ht="15.75" customHeight="1" s="78"/>
    <row r="425" ht="15.75" customHeight="1" s="78"/>
    <row r="426" ht="15.75" customHeight="1" s="78"/>
    <row r="427" ht="15.75" customHeight="1" s="78"/>
    <row r="428" ht="15.75" customHeight="1" s="78"/>
    <row r="429" ht="15.75" customHeight="1" s="78"/>
    <row r="430" ht="15.75" customHeight="1" s="78"/>
    <row r="431" ht="15.75" customHeight="1" s="78"/>
    <row r="432" ht="15.75" customHeight="1" s="78"/>
    <row r="433" ht="15.75" customHeight="1" s="78"/>
    <row r="434" ht="15.75" customHeight="1" s="78"/>
    <row r="435" ht="15.75" customHeight="1" s="78"/>
    <row r="436" ht="15.75" customHeight="1" s="78"/>
    <row r="437" ht="15.75" customHeight="1" s="78"/>
    <row r="438" ht="15.75" customHeight="1" s="78"/>
    <row r="439" ht="15.75" customHeight="1" s="78"/>
    <row r="440" ht="15.75" customHeight="1" s="78"/>
    <row r="441" ht="15.75" customHeight="1" s="78"/>
    <row r="442" ht="15.75" customHeight="1" s="78"/>
    <row r="443" ht="15.75" customHeight="1" s="78"/>
    <row r="444" ht="15.75" customHeight="1" s="78"/>
    <row r="445" ht="15.75" customHeight="1" s="78"/>
    <row r="446" ht="15.75" customHeight="1" s="78"/>
    <row r="447" ht="15.75" customHeight="1" s="78"/>
    <row r="448" ht="15.75" customHeight="1" s="78"/>
    <row r="449" ht="15.75" customHeight="1" s="78"/>
    <row r="450" ht="15.75" customHeight="1" s="78"/>
    <row r="451" ht="15.75" customHeight="1" s="78"/>
    <row r="452" ht="15.75" customHeight="1" s="78"/>
    <row r="453" ht="15.75" customHeight="1" s="78"/>
    <row r="454" ht="15.75" customHeight="1" s="78"/>
    <row r="455" ht="15.75" customHeight="1" s="78"/>
    <row r="456" ht="15.75" customHeight="1" s="78"/>
    <row r="457" ht="15.75" customHeight="1" s="78"/>
    <row r="458" ht="15.75" customHeight="1" s="78"/>
    <row r="459" ht="15.75" customHeight="1" s="78"/>
    <row r="460" ht="15.75" customHeight="1" s="78"/>
    <row r="461" ht="15.75" customHeight="1" s="78"/>
    <row r="462" ht="15.75" customHeight="1" s="78"/>
    <row r="463" ht="15.75" customHeight="1" s="78"/>
    <row r="464" ht="15.75" customHeight="1" s="78"/>
    <row r="465" ht="15.75" customHeight="1" s="78"/>
    <row r="466" ht="15.75" customHeight="1" s="78"/>
    <row r="467" ht="15.75" customHeight="1" s="78"/>
    <row r="468" ht="15.75" customHeight="1" s="78"/>
    <row r="469" ht="15.75" customHeight="1" s="78"/>
    <row r="470" ht="15.75" customHeight="1" s="78"/>
    <row r="471" ht="15.75" customHeight="1" s="78"/>
    <row r="472" ht="15.75" customHeight="1" s="78"/>
    <row r="473" ht="15.75" customHeight="1" s="78"/>
    <row r="474" ht="15.75" customHeight="1" s="78"/>
    <row r="475" ht="15.75" customHeight="1" s="78"/>
    <row r="476" ht="15.75" customHeight="1" s="78"/>
    <row r="477" ht="15.75" customHeight="1" s="78"/>
    <row r="478" ht="15.75" customHeight="1" s="78"/>
    <row r="479" ht="15.75" customHeight="1" s="78"/>
    <row r="480" ht="15.75" customHeight="1" s="78"/>
    <row r="481" ht="15.75" customHeight="1" s="78"/>
    <row r="482" ht="15.75" customHeight="1" s="78"/>
    <row r="483" ht="15.75" customHeight="1" s="78"/>
    <row r="484" ht="15.75" customHeight="1" s="78"/>
    <row r="485" ht="15.75" customHeight="1" s="78"/>
    <row r="486" ht="15.75" customHeight="1" s="78"/>
    <row r="487" ht="15.75" customHeight="1" s="78"/>
    <row r="488" ht="15.75" customHeight="1" s="78"/>
    <row r="489" ht="15.75" customHeight="1" s="78"/>
    <row r="490" ht="15.75" customHeight="1" s="78"/>
    <row r="491" ht="15.75" customHeight="1" s="78"/>
    <row r="492" ht="15.75" customHeight="1" s="78"/>
    <row r="493" ht="15.75" customHeight="1" s="78"/>
    <row r="494" ht="15.75" customHeight="1" s="78"/>
    <row r="495" ht="15.75" customHeight="1" s="78"/>
    <row r="496" ht="15.75" customHeight="1" s="78"/>
    <row r="497" ht="15.75" customHeight="1" s="78"/>
    <row r="498" ht="15.75" customHeight="1" s="78"/>
    <row r="499" ht="15.75" customHeight="1" s="78"/>
    <row r="500" ht="15.75" customHeight="1" s="78"/>
    <row r="501" ht="15.75" customHeight="1" s="78"/>
    <row r="502" ht="15.75" customHeight="1" s="78"/>
    <row r="503" ht="15.75" customHeight="1" s="78"/>
    <row r="504" ht="15.75" customHeight="1" s="78"/>
    <row r="505" ht="15.75" customHeight="1" s="78"/>
    <row r="506" ht="15.75" customHeight="1" s="78"/>
    <row r="507" ht="15.75" customHeight="1" s="78"/>
    <row r="508" ht="15.75" customHeight="1" s="78"/>
    <row r="509" ht="15.75" customHeight="1" s="78"/>
    <row r="510" ht="15.75" customHeight="1" s="78"/>
    <row r="511" ht="15.75" customHeight="1" s="78"/>
    <row r="512" ht="15.75" customHeight="1" s="78"/>
    <row r="513" ht="15.75" customHeight="1" s="78"/>
    <row r="514" ht="15.75" customHeight="1" s="78"/>
    <row r="515" ht="15.75" customHeight="1" s="78"/>
    <row r="516" ht="15.75" customHeight="1" s="78"/>
    <row r="517" ht="15.75" customHeight="1" s="78"/>
    <row r="518" ht="15.75" customHeight="1" s="78"/>
    <row r="519" ht="15.75" customHeight="1" s="78"/>
    <row r="520" ht="15.75" customHeight="1" s="78"/>
    <row r="521" ht="15.75" customHeight="1" s="78"/>
    <row r="522" ht="15.75" customHeight="1" s="78"/>
    <row r="523" ht="15.75" customHeight="1" s="78"/>
    <row r="524" ht="15.75" customHeight="1" s="78"/>
    <row r="525" ht="15.75" customHeight="1" s="78"/>
    <row r="526" ht="15.75" customHeight="1" s="78"/>
    <row r="527" ht="15.75" customHeight="1" s="78"/>
    <row r="528" ht="15.75" customHeight="1" s="78"/>
    <row r="529" ht="15.75" customHeight="1" s="78"/>
    <row r="530" ht="15.75" customHeight="1" s="78"/>
    <row r="531" ht="15.75" customHeight="1" s="78"/>
    <row r="532" ht="15.75" customHeight="1" s="78"/>
    <row r="533" ht="15.75" customHeight="1" s="78"/>
    <row r="534" ht="15.75" customHeight="1" s="78"/>
    <row r="535" ht="15.75" customHeight="1" s="78"/>
    <row r="536" ht="15.75" customHeight="1" s="78"/>
    <row r="537" ht="15.75" customHeight="1" s="78"/>
    <row r="538" ht="15.75" customHeight="1" s="78"/>
    <row r="539" ht="15.75" customHeight="1" s="78"/>
    <row r="540" ht="15.75" customHeight="1" s="78"/>
    <row r="541" ht="15.75" customHeight="1" s="78"/>
    <row r="542" ht="15.75" customHeight="1" s="78"/>
    <row r="543" ht="15.75" customHeight="1" s="78"/>
    <row r="544" ht="15.75" customHeight="1" s="78"/>
    <row r="545" ht="15.75" customHeight="1" s="78"/>
    <row r="546" ht="15.75" customHeight="1" s="78"/>
    <row r="547" ht="15.75" customHeight="1" s="78"/>
    <row r="548" ht="15.75" customHeight="1" s="78"/>
    <row r="549" ht="15.75" customHeight="1" s="78"/>
    <row r="550" ht="15.75" customHeight="1" s="78"/>
    <row r="551" ht="15.75" customHeight="1" s="78"/>
    <row r="552" ht="15.75" customHeight="1" s="78"/>
    <row r="553" ht="15.75" customHeight="1" s="78"/>
    <row r="554" ht="15.75" customHeight="1" s="78"/>
    <row r="555" ht="15.75" customHeight="1" s="78"/>
    <row r="556" ht="15.75" customHeight="1" s="78"/>
    <row r="557" ht="15.75" customHeight="1" s="78"/>
    <row r="558" ht="15.75" customHeight="1" s="78"/>
    <row r="559" ht="15.75" customHeight="1" s="78"/>
    <row r="560" ht="15.75" customHeight="1" s="78"/>
    <row r="561" ht="15.75" customHeight="1" s="78"/>
    <row r="562" ht="15.75" customHeight="1" s="78"/>
    <row r="563" ht="15.75" customHeight="1" s="78"/>
    <row r="564" ht="15.75" customHeight="1" s="78"/>
    <row r="565" ht="15.75" customHeight="1" s="78"/>
    <row r="566" ht="15.75" customHeight="1" s="78"/>
    <row r="567" ht="15.75" customHeight="1" s="78"/>
    <row r="568" ht="15.75" customHeight="1" s="78"/>
    <row r="569" ht="15.75" customHeight="1" s="78"/>
    <row r="570" ht="15.75" customHeight="1" s="78"/>
    <row r="571" ht="15.75" customHeight="1" s="78"/>
    <row r="572" ht="15.75" customHeight="1" s="78"/>
    <row r="573" ht="15.75" customHeight="1" s="78"/>
    <row r="574" ht="15.75" customHeight="1" s="78"/>
    <row r="575" ht="15.75" customHeight="1" s="78"/>
    <row r="576" ht="15.75" customHeight="1" s="78"/>
    <row r="577" ht="15.75" customHeight="1" s="78"/>
    <row r="578" ht="15.75" customHeight="1" s="78"/>
    <row r="579" ht="15.75" customHeight="1" s="78"/>
    <row r="580" ht="15.75" customHeight="1" s="78"/>
    <row r="581" ht="15.75" customHeight="1" s="78"/>
    <row r="582" ht="15.75" customHeight="1" s="78"/>
    <row r="583" ht="15.75" customHeight="1" s="78"/>
    <row r="584" ht="15.75" customHeight="1" s="78"/>
    <row r="585" ht="15.75" customHeight="1" s="78"/>
    <row r="586" ht="15.75" customHeight="1" s="78"/>
    <row r="587" ht="15.75" customHeight="1" s="78"/>
    <row r="588" ht="15.75" customHeight="1" s="78"/>
    <row r="589" ht="15.75" customHeight="1" s="78"/>
    <row r="590" ht="15.75" customHeight="1" s="78"/>
    <row r="591" ht="15.75" customHeight="1" s="78"/>
    <row r="592" ht="15.75" customHeight="1" s="78"/>
    <row r="593" ht="15.75" customHeight="1" s="78"/>
    <row r="594" ht="15.75" customHeight="1" s="78"/>
    <row r="595" ht="15.75" customHeight="1" s="78"/>
    <row r="596" ht="15.75" customHeight="1" s="78"/>
    <row r="597" ht="15.75" customHeight="1" s="78"/>
    <row r="598" ht="15.75" customHeight="1" s="78"/>
    <row r="599" ht="15.75" customHeight="1" s="78"/>
    <row r="600" ht="15.75" customHeight="1" s="78"/>
    <row r="601" ht="15.75" customHeight="1" s="78"/>
    <row r="602" ht="15.75" customHeight="1" s="78"/>
    <row r="603" ht="15.75" customHeight="1" s="78"/>
    <row r="604" ht="15.75" customHeight="1" s="78"/>
    <row r="605" ht="15.75" customHeight="1" s="78"/>
    <row r="606" ht="15.75" customHeight="1" s="78"/>
    <row r="607" ht="15.75" customHeight="1" s="78"/>
    <row r="608" ht="15.75" customHeight="1" s="78"/>
    <row r="609" ht="15.75" customHeight="1" s="78"/>
    <row r="610" ht="15.75" customHeight="1" s="78"/>
    <row r="611" ht="15.75" customHeight="1" s="78"/>
    <row r="612" ht="15.75" customHeight="1" s="78"/>
    <row r="613" ht="15.75" customHeight="1" s="78"/>
    <row r="614" ht="15.75" customHeight="1" s="78"/>
    <row r="615" ht="15.75" customHeight="1" s="78"/>
    <row r="616" ht="15.75" customHeight="1" s="78"/>
    <row r="617" ht="15.75" customHeight="1" s="78"/>
    <row r="618" ht="15.75" customHeight="1" s="78"/>
    <row r="619" ht="15.75" customHeight="1" s="78"/>
    <row r="620" ht="15.75" customHeight="1" s="78"/>
    <row r="621" ht="15.75" customHeight="1" s="78"/>
    <row r="622" ht="15.75" customHeight="1" s="78"/>
    <row r="623" ht="15.75" customHeight="1" s="78"/>
    <row r="624" ht="15.75" customHeight="1" s="78"/>
    <row r="625" ht="15.75" customHeight="1" s="78"/>
    <row r="626" ht="15.75" customHeight="1" s="78"/>
    <row r="627" ht="15.75" customHeight="1" s="78"/>
    <row r="628" ht="15.75" customHeight="1" s="78"/>
    <row r="629" ht="15.75" customHeight="1" s="78"/>
    <row r="630" ht="15.75" customHeight="1" s="78"/>
    <row r="631" ht="15.75" customHeight="1" s="78"/>
    <row r="632" ht="15.75" customHeight="1" s="78"/>
    <row r="633" ht="15.75" customHeight="1" s="78"/>
    <row r="634" ht="15.75" customHeight="1" s="78"/>
    <row r="635" ht="15.75" customHeight="1" s="78"/>
    <row r="636" ht="15.75" customHeight="1" s="78"/>
    <row r="637" ht="15.75" customHeight="1" s="78"/>
    <row r="638" ht="15.75" customHeight="1" s="78"/>
    <row r="639" ht="15.75" customHeight="1" s="78"/>
    <row r="640" ht="15.75" customHeight="1" s="78"/>
    <row r="641" ht="15.75" customHeight="1" s="78"/>
    <row r="642" ht="15.75" customHeight="1" s="78"/>
    <row r="643" ht="15.75" customHeight="1" s="78"/>
    <row r="644" ht="15.75" customHeight="1" s="78"/>
    <row r="645" ht="15.75" customHeight="1" s="78"/>
    <row r="646" ht="15.75" customHeight="1" s="78"/>
    <row r="647" ht="15.75" customHeight="1" s="78"/>
    <row r="648" ht="15.75" customHeight="1" s="78"/>
    <row r="649" ht="15.75" customHeight="1" s="78"/>
    <row r="650" ht="15.75" customHeight="1" s="78"/>
    <row r="651" ht="15.75" customHeight="1" s="78"/>
    <row r="652" ht="15.75" customHeight="1" s="78"/>
    <row r="653" ht="15.75" customHeight="1" s="78"/>
    <row r="654" ht="15.75" customHeight="1" s="78"/>
    <row r="655" ht="15.75" customHeight="1" s="78"/>
    <row r="656" ht="15.75" customHeight="1" s="78"/>
    <row r="657" ht="15.75" customHeight="1" s="78"/>
    <row r="658" ht="15.75" customHeight="1" s="78"/>
    <row r="659" ht="15.75" customHeight="1" s="78"/>
    <row r="660" ht="15.75" customHeight="1" s="78"/>
    <row r="661" ht="15.75" customHeight="1" s="78"/>
    <row r="662" ht="15.75" customHeight="1" s="78"/>
    <row r="663" ht="15.75" customHeight="1" s="78"/>
    <row r="664" ht="15.75" customHeight="1" s="78"/>
    <row r="665" ht="15.75" customHeight="1" s="78"/>
    <row r="666" ht="15.75" customHeight="1" s="78"/>
    <row r="667" ht="15.75" customHeight="1" s="78"/>
    <row r="668" ht="15.75" customHeight="1" s="78"/>
    <row r="669" ht="15.75" customHeight="1" s="78"/>
    <row r="670" ht="15.75" customHeight="1" s="78"/>
    <row r="671" ht="15.75" customHeight="1" s="78"/>
    <row r="672" ht="15.75" customHeight="1" s="78"/>
    <row r="673" ht="15.75" customHeight="1" s="78"/>
    <row r="674" ht="15.75" customHeight="1" s="78"/>
    <row r="675" ht="15.75" customHeight="1" s="78"/>
    <row r="676" ht="15.75" customHeight="1" s="78"/>
    <row r="677" ht="15.75" customHeight="1" s="78"/>
    <row r="678" ht="15.75" customHeight="1" s="78"/>
    <row r="679" ht="15.75" customHeight="1" s="78"/>
    <row r="680" ht="15.75" customHeight="1" s="78"/>
    <row r="681" ht="15.75" customHeight="1" s="78"/>
    <row r="682" ht="15.75" customHeight="1" s="78"/>
    <row r="683" ht="15.75" customHeight="1" s="78"/>
    <row r="684" ht="15.75" customHeight="1" s="78"/>
    <row r="685" ht="15.75" customHeight="1" s="78"/>
    <row r="686" ht="15.75" customHeight="1" s="78"/>
    <row r="687" ht="15.75" customHeight="1" s="78"/>
    <row r="688" ht="15.75" customHeight="1" s="78"/>
    <row r="689" ht="15.75" customHeight="1" s="78"/>
    <row r="690" ht="15.75" customHeight="1" s="78"/>
    <row r="691" ht="15.75" customHeight="1" s="78"/>
    <row r="692" ht="15.75" customHeight="1" s="78"/>
    <row r="693" ht="15.75" customHeight="1" s="78"/>
    <row r="694" ht="15.75" customHeight="1" s="78"/>
    <row r="695" ht="15.75" customHeight="1" s="78"/>
    <row r="696" ht="15.75" customHeight="1" s="78"/>
    <row r="697" ht="15.75" customHeight="1" s="78"/>
    <row r="698" ht="15.75" customHeight="1" s="78"/>
    <row r="699" ht="15.75" customHeight="1" s="78"/>
    <row r="700" ht="15.75" customHeight="1" s="78"/>
    <row r="701" ht="15.75" customHeight="1" s="78"/>
    <row r="702" ht="15.75" customHeight="1" s="78"/>
    <row r="703" ht="15.75" customHeight="1" s="78"/>
    <row r="704" ht="15.75" customHeight="1" s="78"/>
    <row r="705" ht="15.75" customHeight="1" s="78"/>
    <row r="706" ht="15.75" customHeight="1" s="78"/>
    <row r="707" ht="15.75" customHeight="1" s="78"/>
    <row r="708" ht="15.75" customHeight="1" s="78"/>
    <row r="709" ht="15.75" customHeight="1" s="78"/>
    <row r="710" ht="15.75" customHeight="1" s="78"/>
    <row r="711" ht="15.75" customHeight="1" s="78"/>
    <row r="712" ht="15.75" customHeight="1" s="78"/>
    <row r="713" ht="15.75" customHeight="1" s="78"/>
    <row r="714" ht="15.75" customHeight="1" s="78"/>
    <row r="715" ht="15.75" customHeight="1" s="78"/>
    <row r="716" ht="15.75" customHeight="1" s="78"/>
    <row r="717" ht="15.75" customHeight="1" s="78"/>
    <row r="718" ht="15.75" customHeight="1" s="78"/>
    <row r="719" ht="15.75" customHeight="1" s="78"/>
    <row r="720" ht="15.75" customHeight="1" s="78"/>
    <row r="721" ht="15.75" customHeight="1" s="78"/>
    <row r="722" ht="15.75" customHeight="1" s="78"/>
    <row r="723" ht="15.75" customHeight="1" s="78"/>
    <row r="724" ht="15.75" customHeight="1" s="78"/>
    <row r="725" ht="15.75" customHeight="1" s="78"/>
    <row r="726" ht="15.75" customHeight="1" s="78"/>
    <row r="727" ht="15.75" customHeight="1" s="78"/>
    <row r="728" ht="15.75" customHeight="1" s="78"/>
    <row r="729" ht="15.75" customHeight="1" s="78"/>
    <row r="730" ht="15.75" customHeight="1" s="78"/>
    <row r="731" ht="15.75" customHeight="1" s="78"/>
    <row r="732" ht="15.75" customHeight="1" s="78"/>
    <row r="733" ht="15.75" customHeight="1" s="78"/>
    <row r="734" ht="15.75" customHeight="1" s="78"/>
    <row r="735" ht="15.75" customHeight="1" s="78"/>
    <row r="736" ht="15.75" customHeight="1" s="78"/>
    <row r="737" ht="15.75" customHeight="1" s="78"/>
    <row r="738" ht="15.75" customHeight="1" s="78"/>
    <row r="739" ht="15.75" customHeight="1" s="78"/>
    <row r="740" ht="15.75" customHeight="1" s="78"/>
    <row r="741" ht="15.75" customHeight="1" s="78"/>
    <row r="742" ht="15.75" customHeight="1" s="78"/>
    <row r="743" ht="15.75" customHeight="1" s="78"/>
    <row r="744" ht="15.75" customHeight="1" s="78"/>
    <row r="745" ht="15.75" customHeight="1" s="78"/>
    <row r="746" ht="15.75" customHeight="1" s="78"/>
    <row r="747" ht="15.75" customHeight="1" s="78"/>
    <row r="748" ht="15.75" customHeight="1" s="78"/>
    <row r="749" ht="15.75" customHeight="1" s="78"/>
    <row r="750" ht="15.75" customHeight="1" s="78"/>
    <row r="751" ht="15.75" customHeight="1" s="78"/>
    <row r="752" ht="15.75" customHeight="1" s="78"/>
    <row r="753" ht="15.75" customHeight="1" s="78"/>
    <row r="754" ht="15.75" customHeight="1" s="78"/>
    <row r="755" ht="15.75" customHeight="1" s="78"/>
    <row r="756" ht="15.75" customHeight="1" s="78"/>
    <row r="757" ht="15.75" customHeight="1" s="78"/>
    <row r="758" ht="15.75" customHeight="1" s="78"/>
    <row r="759" ht="15.75" customHeight="1" s="78"/>
    <row r="760" ht="15.75" customHeight="1" s="78"/>
    <row r="761" ht="15.75" customHeight="1" s="78"/>
    <row r="762" ht="15.75" customHeight="1" s="78"/>
    <row r="763" ht="15.75" customHeight="1" s="78"/>
    <row r="764" ht="15.75" customHeight="1" s="78"/>
    <row r="765" ht="15.75" customHeight="1" s="78"/>
    <row r="766" ht="15.75" customHeight="1" s="78"/>
    <row r="767" ht="15.75" customHeight="1" s="78"/>
    <row r="768" ht="15.75" customHeight="1" s="78"/>
    <row r="769" ht="15.75" customHeight="1" s="78"/>
    <row r="770" ht="15.75" customHeight="1" s="78"/>
    <row r="771" ht="15.75" customHeight="1" s="78"/>
    <row r="772" ht="15.75" customHeight="1" s="78"/>
    <row r="773" ht="15.75" customHeight="1" s="78"/>
    <row r="774" ht="15.75" customHeight="1" s="78"/>
    <row r="775" ht="15.75" customHeight="1" s="78"/>
    <row r="776" ht="15.75" customHeight="1" s="78"/>
    <row r="777" ht="15.75" customHeight="1" s="78"/>
    <row r="778" ht="15.75" customHeight="1" s="78"/>
    <row r="779" ht="15.75" customHeight="1" s="78"/>
    <row r="780" ht="15.75" customHeight="1" s="78"/>
    <row r="781" ht="15.75" customHeight="1" s="78"/>
    <row r="782" ht="15.75" customHeight="1" s="78"/>
    <row r="783" ht="15.75" customHeight="1" s="78"/>
    <row r="784" ht="15.75" customHeight="1" s="78"/>
    <row r="785" ht="15.75" customHeight="1" s="78"/>
    <row r="786" ht="15.75" customHeight="1" s="78"/>
    <row r="787" ht="15.75" customHeight="1" s="78"/>
    <row r="788" ht="15.75" customHeight="1" s="78"/>
    <row r="789" ht="15.75" customHeight="1" s="78"/>
    <row r="790" ht="15.75" customHeight="1" s="78"/>
    <row r="791" ht="15.75" customHeight="1" s="78"/>
    <row r="792" ht="15.75" customHeight="1" s="78"/>
    <row r="793" ht="15.75" customHeight="1" s="78"/>
    <row r="794" ht="15.75" customHeight="1" s="78"/>
    <row r="795" ht="15.75" customHeight="1" s="78"/>
    <row r="796" ht="15.75" customHeight="1" s="78"/>
    <row r="797" ht="15.75" customHeight="1" s="78"/>
    <row r="798" ht="15.75" customHeight="1" s="78"/>
    <row r="799" ht="15.75" customHeight="1" s="78"/>
    <row r="800" ht="15.75" customHeight="1" s="78"/>
    <row r="801" ht="15.75" customHeight="1" s="78"/>
    <row r="802" ht="15.75" customHeight="1" s="78"/>
    <row r="803" ht="15.75" customHeight="1" s="78"/>
    <row r="804" ht="15.75" customHeight="1" s="78"/>
    <row r="805" ht="15.75" customHeight="1" s="78"/>
    <row r="806" ht="15.75" customHeight="1" s="78"/>
    <row r="807" ht="15.75" customHeight="1" s="78"/>
    <row r="808" ht="15.75" customHeight="1" s="78"/>
    <row r="809" ht="15.75" customHeight="1" s="78"/>
    <row r="810" ht="15.75" customHeight="1" s="78"/>
    <row r="811" ht="15.75" customHeight="1" s="78"/>
    <row r="812" ht="15.75" customHeight="1" s="78"/>
    <row r="813" ht="15.75" customHeight="1" s="78"/>
    <row r="814" ht="15.75" customHeight="1" s="78"/>
    <row r="815" ht="15.75" customHeight="1" s="78"/>
    <row r="816" ht="15.75" customHeight="1" s="78"/>
    <row r="817" ht="15.75" customHeight="1" s="78"/>
    <row r="818" ht="15.75" customHeight="1" s="78"/>
    <row r="819" ht="15.75" customHeight="1" s="78"/>
    <row r="820" ht="15.75" customHeight="1" s="78"/>
    <row r="821" ht="15.75" customHeight="1" s="78"/>
    <row r="822" ht="15.75" customHeight="1" s="78"/>
    <row r="823" ht="15.75" customHeight="1" s="78"/>
    <row r="824" ht="15.75" customHeight="1" s="78"/>
    <row r="825" ht="15.75" customHeight="1" s="78"/>
    <row r="826" ht="15.75" customHeight="1" s="78"/>
    <row r="827" ht="15.75" customHeight="1" s="78"/>
    <row r="828" ht="15.75" customHeight="1" s="78"/>
    <row r="829" ht="15.75" customHeight="1" s="78"/>
    <row r="830" ht="15.75" customHeight="1" s="78"/>
    <row r="831" ht="15.75" customHeight="1" s="78"/>
    <row r="832" ht="15.75" customHeight="1" s="78"/>
    <row r="833" ht="15.75" customHeight="1" s="78"/>
    <row r="834" ht="15.75" customHeight="1" s="78"/>
    <row r="835" ht="15.75" customHeight="1" s="78"/>
    <row r="836" ht="15.75" customHeight="1" s="78"/>
    <row r="837" ht="15.75" customHeight="1" s="78"/>
    <row r="838" ht="15.75" customHeight="1" s="78"/>
    <row r="839" ht="15.75" customHeight="1" s="78"/>
    <row r="840" ht="15.75" customHeight="1" s="78"/>
    <row r="841" ht="15.75" customHeight="1" s="78"/>
    <row r="842" ht="15.75" customHeight="1" s="78"/>
    <row r="843" ht="15.75" customHeight="1" s="78"/>
    <row r="844" ht="15.75" customHeight="1" s="78"/>
    <row r="845" ht="15.75" customHeight="1" s="78"/>
    <row r="846" ht="15.75" customHeight="1" s="78"/>
    <row r="847" ht="15.75" customHeight="1" s="78"/>
    <row r="848" ht="15.75" customHeight="1" s="78"/>
    <row r="849" ht="15.75" customHeight="1" s="78"/>
    <row r="850" ht="15.75" customHeight="1" s="78"/>
    <row r="851" ht="15.75" customHeight="1" s="78"/>
    <row r="852" ht="15.75" customHeight="1" s="78"/>
    <row r="853" ht="15.75" customHeight="1" s="78"/>
    <row r="854" ht="15.75" customHeight="1" s="78"/>
    <row r="855" ht="15.75" customHeight="1" s="78"/>
    <row r="856" ht="15.75" customHeight="1" s="78"/>
    <row r="857" ht="15.75" customHeight="1" s="78"/>
    <row r="858" ht="15.75" customHeight="1" s="78"/>
    <row r="859" ht="15.75" customHeight="1" s="78"/>
    <row r="860" ht="15.75" customHeight="1" s="78"/>
    <row r="861" ht="15.75" customHeight="1" s="78"/>
    <row r="862" ht="15.75" customHeight="1" s="78"/>
    <row r="863" ht="15.75" customHeight="1" s="78"/>
    <row r="864" ht="15.75" customHeight="1" s="78"/>
    <row r="865" ht="15.75" customHeight="1" s="78"/>
    <row r="866" ht="15.75" customHeight="1" s="78"/>
    <row r="867" ht="15.75" customHeight="1" s="78"/>
    <row r="868" ht="15.75" customHeight="1" s="78"/>
    <row r="869" ht="15.75" customHeight="1" s="78"/>
    <row r="870" ht="15.75" customHeight="1" s="78"/>
    <row r="871" ht="15.75" customHeight="1" s="78"/>
    <row r="872" ht="15.75" customHeight="1" s="78"/>
    <row r="873" ht="15.75" customHeight="1" s="78"/>
    <row r="874" ht="15.75" customHeight="1" s="78"/>
    <row r="875" ht="15.75" customHeight="1" s="78"/>
    <row r="876" ht="15.75" customHeight="1" s="78"/>
    <row r="877" ht="15.75" customHeight="1" s="78"/>
    <row r="878" ht="15.75" customHeight="1" s="78"/>
    <row r="879" ht="15.75" customHeight="1" s="78"/>
    <row r="880" ht="15.75" customHeight="1" s="78"/>
    <row r="881" ht="15.75" customHeight="1" s="78"/>
    <row r="882" ht="15.75" customHeight="1" s="78"/>
    <row r="883" ht="15.75" customHeight="1" s="78"/>
    <row r="884" ht="15.75" customHeight="1" s="78"/>
    <row r="885" ht="15.75" customHeight="1" s="78"/>
    <row r="886" ht="15.75" customHeight="1" s="78"/>
    <row r="887" ht="15.75" customHeight="1" s="78"/>
    <row r="888" ht="15.75" customHeight="1" s="78"/>
    <row r="889" ht="15.75" customHeight="1" s="78"/>
    <row r="890" ht="15.75" customHeight="1" s="78"/>
    <row r="891" ht="15.75" customHeight="1" s="78"/>
    <row r="892" ht="15.75" customHeight="1" s="78"/>
    <row r="893" ht="15.75" customHeight="1" s="78"/>
    <row r="894" ht="15.75" customHeight="1" s="78"/>
    <row r="895" ht="15.75" customHeight="1" s="78"/>
    <row r="896" ht="15.75" customHeight="1" s="78"/>
    <row r="897" ht="15.75" customHeight="1" s="78"/>
    <row r="898" ht="15.75" customHeight="1" s="78"/>
    <row r="899" ht="15.75" customHeight="1" s="78"/>
    <row r="900" ht="15.75" customHeight="1" s="78"/>
    <row r="901" ht="15.75" customHeight="1" s="78"/>
    <row r="902" ht="15.75" customHeight="1" s="78"/>
    <row r="903" ht="15.75" customHeight="1" s="78"/>
    <row r="904" ht="15.75" customHeight="1" s="78"/>
    <row r="905" ht="15.75" customHeight="1" s="78"/>
    <row r="906" ht="15.75" customHeight="1" s="78"/>
    <row r="907" ht="15.75" customHeight="1" s="78"/>
    <row r="908" ht="15.75" customHeight="1" s="78"/>
    <row r="909" ht="15.75" customHeight="1" s="78"/>
    <row r="910" ht="15.75" customHeight="1" s="78"/>
    <row r="911" ht="15.75" customHeight="1" s="78"/>
    <row r="912" ht="15.75" customHeight="1" s="78"/>
    <row r="913" ht="15.75" customHeight="1" s="78"/>
    <row r="914" ht="15.75" customHeight="1" s="78"/>
    <row r="915" ht="15.75" customHeight="1" s="78"/>
    <row r="916" ht="15.75" customHeight="1" s="78"/>
    <row r="917" ht="15.75" customHeight="1" s="78"/>
    <row r="918" ht="15.75" customHeight="1" s="78"/>
    <row r="919" ht="15.75" customHeight="1" s="78"/>
    <row r="920" ht="15.75" customHeight="1" s="78"/>
    <row r="921" ht="15.75" customHeight="1" s="78"/>
    <row r="922" ht="15.75" customHeight="1" s="78"/>
    <row r="923" ht="15.75" customHeight="1" s="78"/>
    <row r="924" ht="15.75" customHeight="1" s="78"/>
    <row r="925" ht="15.75" customHeight="1" s="78"/>
    <row r="926" ht="15.75" customHeight="1" s="78"/>
    <row r="927" ht="15.75" customHeight="1" s="78"/>
    <row r="928" ht="15.75" customHeight="1" s="78"/>
    <row r="929" ht="15.75" customHeight="1" s="78"/>
    <row r="930" ht="15.75" customHeight="1" s="78"/>
    <row r="931" ht="15.75" customHeight="1" s="78"/>
    <row r="932" ht="15.75" customHeight="1" s="78"/>
    <row r="933" ht="15.75" customHeight="1" s="78"/>
    <row r="934" ht="15.75" customHeight="1" s="78"/>
    <row r="935" ht="15.75" customHeight="1" s="78"/>
    <row r="936" ht="15.75" customHeight="1" s="78"/>
    <row r="937" ht="15.75" customHeight="1" s="78"/>
    <row r="938" ht="15.75" customHeight="1" s="78"/>
    <row r="939" ht="15.75" customHeight="1" s="78"/>
    <row r="940" ht="15.75" customHeight="1" s="78"/>
    <row r="941" ht="15.75" customHeight="1" s="78"/>
    <row r="942" ht="15.75" customHeight="1" s="78"/>
    <row r="943" ht="15.75" customHeight="1" s="78"/>
    <row r="944" ht="15.75" customHeight="1" s="78"/>
    <row r="945" ht="15.75" customHeight="1" s="78"/>
    <row r="946" ht="15.75" customHeight="1" s="78"/>
    <row r="947" ht="15.75" customHeight="1" s="78"/>
    <row r="948" ht="15.75" customHeight="1" s="78"/>
    <row r="949" ht="15.75" customHeight="1" s="78"/>
    <row r="950" ht="15.75" customHeight="1" s="78"/>
    <row r="951" ht="15.75" customHeight="1" s="78"/>
    <row r="952" ht="15.75" customHeight="1" s="78"/>
    <row r="953" ht="15.75" customHeight="1" s="78"/>
    <row r="954" ht="15.75" customHeight="1" s="78"/>
    <row r="955" ht="15.75" customHeight="1" s="78"/>
    <row r="956" ht="15.75" customHeight="1" s="78"/>
    <row r="957" ht="15.75" customHeight="1" s="78"/>
    <row r="958" ht="15.75" customHeight="1" s="78"/>
    <row r="959" ht="15.75" customHeight="1" s="78"/>
    <row r="960" ht="15.75" customHeight="1" s="78"/>
    <row r="961" ht="15.75" customHeight="1" s="78"/>
    <row r="962" ht="15.75" customHeight="1" s="78"/>
    <row r="963" ht="15.75" customHeight="1" s="78"/>
    <row r="964" ht="15.75" customHeight="1" s="78"/>
    <row r="965" ht="15.75" customHeight="1" s="78"/>
    <row r="966" ht="15.75" customHeight="1" s="78"/>
    <row r="967" ht="15.75" customHeight="1" s="78"/>
    <row r="968" ht="15.75" customHeight="1" s="78"/>
    <row r="969" ht="15.75" customHeight="1" s="78"/>
    <row r="970" ht="15.75" customHeight="1" s="78"/>
    <row r="971" ht="15.75" customHeight="1" s="78"/>
    <row r="972" ht="15.75" customHeight="1" s="78"/>
    <row r="973" ht="15.75" customHeight="1" s="78"/>
    <row r="974" ht="15.75" customHeight="1" s="78"/>
    <row r="975" ht="15.75" customHeight="1" s="78"/>
    <row r="976" ht="15.75" customHeight="1" s="78"/>
    <row r="977" ht="15.75" customHeight="1" s="78"/>
    <row r="978" ht="15.75" customHeight="1" s="78"/>
    <row r="979" ht="15.75" customHeight="1" s="78"/>
    <row r="980" ht="15.75" customHeight="1" s="78"/>
    <row r="981" ht="15.75" customHeight="1" s="78"/>
    <row r="982" ht="15.75" customHeight="1" s="78"/>
    <row r="983" ht="15.75" customHeight="1" s="78"/>
    <row r="984" ht="15.75" customHeight="1" s="78"/>
    <row r="985" ht="15.75" customHeight="1" s="78"/>
    <row r="986" ht="15.75" customHeight="1" s="78"/>
    <row r="987" ht="15.75" customHeight="1" s="78"/>
    <row r="988" ht="15.75" customHeight="1" s="78"/>
    <row r="989" ht="15.75" customHeight="1" s="78"/>
    <row r="990" ht="15.75" customHeight="1" s="78"/>
    <row r="991" ht="15.75" customHeight="1" s="78"/>
    <row r="992" ht="15.75" customHeight="1" s="78"/>
    <row r="993" ht="15.75" customHeight="1" s="78"/>
    <row r="994" ht="15.75" customHeight="1" s="78"/>
    <row r="995" ht="15.75" customHeight="1" s="78"/>
    <row r="996" ht="15.75" customHeight="1" s="78"/>
    <row r="997" ht="15.75" customHeight="1" s="78"/>
    <row r="998" ht="15.75" customHeight="1" s="78"/>
    <row r="999" ht="15.75" customHeight="1" s="78"/>
    <row r="1000" ht="15.75" customHeight="1" s="78"/>
  </sheetData>
  <mergeCells count="11">
    <mergeCell ref="D20:E20"/>
    <mergeCell ref="A18:D18"/>
    <mergeCell ref="A19:C19"/>
    <mergeCell ref="D19:E19"/>
    <mergeCell ref="A1:F1"/>
    <mergeCell ref="A22:C22"/>
    <mergeCell ref="D22:E22"/>
    <mergeCell ref="A21:C21"/>
    <mergeCell ref="A2:J2"/>
    <mergeCell ref="A20:C20"/>
    <mergeCell ref="D21:E21"/>
  </mergeCells>
  <dataValidations count="1">
    <dataValidation sqref="E5:E16" showDropDown="0" showInputMessage="0" showErrorMessage="0" allowBlank="1" type="list">
      <formula1>"Pass,Partial,Fail,Not Tested,N/A"</formula1>
    </dataValidation>
  </dataValidations>
  <pageMargins left="0.75" right="0.75" top="1" bottom="1" header="0" footer="0"/>
  <pageSetup orientation="landscape" fitToHeight="0"/>
</worksheet>
</file>

<file path=xl/worksheets/sheet12.xml><?xml version="1.0" encoding="utf-8"?>
<worksheet xmlns="http://schemas.openxmlformats.org/spreadsheetml/2006/main">
  <sheetPr>
    <outlinePr summaryBelow="1" summaryRight="1"/>
    <pageSetUpPr fitToPage="1"/>
  </sheetPr>
  <dimension ref="A1:M49"/>
  <sheetViews>
    <sheetView workbookViewId="0">
      <pane ySplit="4" topLeftCell="A5" activePane="bottomLeft" state="frozen"/>
      <selection pane="bottomLeft" activeCell="A1" sqref="A1"/>
    </sheetView>
  </sheetViews>
  <sheetFormatPr baseColWidth="8" defaultColWidth="14.43" defaultRowHeight="15" customHeight="1"/>
  <cols>
    <col width="8" customWidth="1" style="78" min="1" max="1"/>
    <col width="34" customWidth="1" style="78" min="2" max="2"/>
    <col width="7" customWidth="1" style="78" min="3" max="3"/>
    <col width="14.57" customWidth="1" style="78" min="4" max="4"/>
    <col width="22" customWidth="1" style="78" min="5" max="5"/>
    <col width="13.71" customWidth="1" style="78" min="6" max="6"/>
    <col width="10" customWidth="1" style="78" min="7" max="7"/>
    <col width="40" customWidth="1" style="78" min="8" max="8"/>
    <col width="20.57" customWidth="1" style="78" min="9" max="9"/>
    <col width="11" customWidth="1" style="78" min="10" max="10"/>
    <col width="46" customWidth="1" style="78" min="11" max="11"/>
    <col width="26.29" customWidth="1" style="78" min="12" max="12"/>
    <col width="73.56999999999999" customWidth="1" style="78" min="13" max="13"/>
    <col width="8.710000000000001" customWidth="1" style="78" min="14" max="26"/>
  </cols>
  <sheetData>
    <row r="1">
      <c r="A1" s="3" t="inlineStr">
        <is>
          <t>Accessibility Scorecard — AccessMore (Access Bank, Nigeria)</t>
        </is>
      </c>
    </row>
    <row r="2" ht="24" customHeight="1" s="78">
      <c r="A2" s="6" t="inlineStr">
        <is>
          <t>Blue cells are inputs (Status / Evidence count / Notes). WCAG2ICT and Recommended Improvement columns are reference-only. Everything else recalculates automatically.</t>
        </is>
      </c>
    </row>
    <row r="4" ht="30" customHeight="1" s="78">
      <c r="A4" s="8" t="inlineStr">
        <is>
          <t>SC #</t>
        </is>
      </c>
      <c r="B4" s="8" t="inlineStr">
        <is>
          <t>Success Criterion</t>
        </is>
      </c>
      <c r="C4" s="8" t="inlineStr">
        <is>
          <t>Level</t>
        </is>
      </c>
      <c r="D4" s="8" t="inlineStr">
        <is>
          <t>Principle</t>
        </is>
      </c>
      <c r="E4" s="8" t="inlineStr">
        <is>
          <t>Relevance
weight (1-3)</t>
        </is>
      </c>
      <c r="F4" s="8" t="inlineStr">
        <is>
          <t>Status</t>
        </is>
      </c>
      <c r="G4" s="8" t="inlineStr">
        <is>
          <t>Status
score</t>
        </is>
      </c>
      <c r="H4" s="8" t="inlineStr">
        <is>
          <t>Notes / Evidence</t>
        </is>
      </c>
      <c r="I4" s="8" t="inlineStr">
        <is>
          <t>Instances
found</t>
        </is>
      </c>
      <c r="J4" s="8" t="inlineStr">
        <is>
          <t>Weighted
score</t>
        </is>
      </c>
      <c r="K4" s="8" t="inlineStr">
        <is>
          <t>WCAG2ICT interpretation
(native/mobile software)</t>
        </is>
      </c>
      <c r="L4" s="18" t="inlineStr">
        <is>
          <t>Tested?</t>
        </is>
      </c>
      <c r="M4" s="8" t="inlineStr">
        <is>
          <t>Recommended Improvement</t>
        </is>
      </c>
    </row>
    <row r="5">
      <c r="A5" s="15" t="inlineStr">
        <is>
          <t>1.1.1</t>
        </is>
      </c>
      <c r="B5" s="11" t="inlineStr">
        <is>
          <t>Non-text Content</t>
        </is>
      </c>
      <c r="C5" s="13" t="inlineStr">
        <is>
          <t>A</t>
        </is>
      </c>
      <c r="D5" s="15" t="inlineStr">
        <is>
          <t>Perceivable</t>
        </is>
      </c>
      <c r="E5" s="23" t="n">
        <v>3</v>
      </c>
      <c r="F5" s="26" t="inlineStr">
        <is>
          <t>Fail</t>
        </is>
      </c>
      <c r="G5" s="15">
        <f>IF(F5="Pass",1,IF(F5="Partial",0.5,IF(F5="Fail",0,0)))</f>
        <v/>
      </c>
      <c r="H5" s="34" t="inlineStr">
        <is>
          <t>9 unlabelled items + 5 visible text strings not exposed. The unlabelled items are the three Access Transfers inputs (S1-2), the account-carousel dot, the chat WebView, the side menu drawer and the profile details sheet. The show / hide balance eye has an empty spoken label (S2-2/6/8).</t>
        </is>
      </c>
      <c r="I5" s="23" t="n">
        <v>14</v>
      </c>
      <c r="J5" s="15">
        <f>E5*G5</f>
        <v/>
      </c>
      <c r="K5" s="39" t="inlineStr">
        <is>
          <t>'Web page' -&gt; 'software'; a non-text control's accessible name must be exposed via the platform accessibility API (Android AccessibilityNodeInfo / iOS UIAccessibility), not just visible on screen.</t>
        </is>
      </c>
      <c r="L5" s="15">
        <f>IF(OR(F5="Pass",F5="Partial",F5="Fail"),1,0)</f>
        <v/>
      </c>
      <c r="M5" s="41" t="inlineStr">
        <is>
          <t>Label the balance eye and share icons, the carousel indicator and the Access Transfers inputs. Make sure the side menu, chat and profile sheet expose their text content.</t>
        </is>
      </c>
    </row>
    <row r="6">
      <c r="A6" s="29" t="inlineStr">
        <is>
          <t>1.3.1</t>
        </is>
      </c>
      <c r="B6" s="25" t="inlineStr">
        <is>
          <t>Info and Relationships</t>
        </is>
      </c>
      <c r="C6" s="13" t="inlineStr">
        <is>
          <t>A</t>
        </is>
      </c>
      <c r="D6" s="29" t="inlineStr">
        <is>
          <t>Perceivable</t>
        </is>
      </c>
      <c r="E6" s="42" t="n">
        <v>2</v>
      </c>
      <c r="F6" s="43" t="inlineStr">
        <is>
          <t>Partial</t>
        </is>
      </c>
      <c r="G6" s="29">
        <f>IF(F6="Pass",1,IF(F6="Partial",0.5,IF(F6="Fail",0,0)))</f>
        <v/>
      </c>
      <c r="H6" s="45" t="inlineStr">
        <is>
          <t>The side menu drawer and the profile 'Show details' sheet are exposed as single unlabelled containers (S2-13, S2-18). The settings toggles are not associated with their row text: 'Biometric Transactions', 'Hide Account Balance' and 'Transaction Limits' are unexposed, and the toggles announce only 'ON' (S2-17).</t>
        </is>
      </c>
      <c r="I6" s="42" t="n">
        <v>3</v>
      </c>
      <c r="J6" s="29">
        <f>E6*G6</f>
        <v/>
      </c>
      <c r="K6" s="46" t="inlineStr">
        <is>
          <t>'Markup' -&gt; structural relationships conveyed through the accessibility tree (grouping, headings, lists) rather than HTML; a screen reader must be able to derive the same grouping a sighted user sees.</t>
        </is>
      </c>
      <c r="L6" s="29">
        <f>IF(OR(F6="Pass",F6="Partial",F6="Fail"),1,0)</f>
        <v/>
      </c>
      <c r="M6" s="47" t="inlineStr">
        <is>
          <t>Associate each settings toggle with its row label (one element: 'Biometric Login, switch, on'). Expose the drawer's and sheet's items individually.</t>
        </is>
      </c>
    </row>
    <row r="7">
      <c r="A7" s="15" t="inlineStr">
        <is>
          <t>1.3.2</t>
        </is>
      </c>
      <c r="B7" s="11" t="inlineStr">
        <is>
          <t>Meaningful Sequence</t>
        </is>
      </c>
      <c r="C7" s="13" t="inlineStr">
        <is>
          <t>A</t>
        </is>
      </c>
      <c r="D7" s="15" t="inlineStr">
        <is>
          <t>Perceivable</t>
        </is>
      </c>
      <c r="E7" s="23" t="n">
        <v>2</v>
      </c>
      <c r="F7" s="50" t="inlineStr">
        <is>
          <t>Not Tested</t>
        </is>
      </c>
      <c r="G7" s="15">
        <f>IF(F7="Pass",1,IF(F7="Partial",0.5,IF(F7="Fail",0,0)))</f>
        <v/>
      </c>
      <c r="H7" s="34" t="inlineStr">
        <is>
          <t>Requires manual TalkBack swipe-order testing.</t>
        </is>
      </c>
      <c r="I7" s="23" t="inlineStr">
        <is>
          <t>-</t>
        </is>
      </c>
      <c r="J7" s="15">
        <f>E7*G7</f>
        <v/>
      </c>
      <c r="K7" s="39" t="inlineStr">
        <is>
          <t>Applies as written: the swipe/focus order exposed to a screen reader must match the meaningful reading order, independent of visual layout.</t>
        </is>
      </c>
      <c r="L7" s="15">
        <f>IF(OR(F7="Pass",F7="Partial",F7="Fail"),1,0)</f>
        <v/>
      </c>
      <c r="M7" s="53" t="inlineStr">
        <is>
          <t>No fix to prescribe yet - conduct the manual test first to confirm actual status.</t>
        </is>
      </c>
    </row>
    <row r="8">
      <c r="A8" s="29" t="inlineStr">
        <is>
          <t>1.3.3</t>
        </is>
      </c>
      <c r="B8" s="25" t="inlineStr">
        <is>
          <t>Sensory Characteristics</t>
        </is>
      </c>
      <c r="C8" s="13" t="inlineStr">
        <is>
          <t>A</t>
        </is>
      </c>
      <c r="D8" s="29" t="inlineStr">
        <is>
          <t>Perceivable</t>
        </is>
      </c>
      <c r="E8" s="42" t="n">
        <v>1</v>
      </c>
      <c r="F8" s="54" t="inlineStr">
        <is>
          <t>Pass</t>
        </is>
      </c>
      <c r="G8" s="29">
        <f>IF(F8="Pass",1,IF(F8="Partial",0.5,IF(F8="Fail",0,0)))</f>
        <v/>
      </c>
      <c r="H8" s="45" t="inlineStr">
        <is>
          <t>Debits use a '-' sign as well as red. No shape-only or position-only instructions observed.</t>
        </is>
      </c>
      <c r="I8" s="42" t="inlineStr">
        <is>
          <t>-</t>
        </is>
      </c>
      <c r="J8" s="29">
        <f>E8*G8</f>
        <v/>
      </c>
      <c r="K8" s="46" t="inlineStr">
        <is>
          <t>Applies as written; no web-specific terms to reinterpret.</t>
        </is>
      </c>
      <c r="L8" s="29">
        <f>IF(OR(F8="Pass",F8="Partial",F8="Fail"),1,0)</f>
        <v/>
      </c>
      <c r="M8" s="57" t="inlineStr">
        <is>
          <t>No action needed on current evidence.</t>
        </is>
      </c>
    </row>
    <row r="9">
      <c r="A9" s="15" t="inlineStr">
        <is>
          <t>1.4.1</t>
        </is>
      </c>
      <c r="B9" s="11" t="inlineStr">
        <is>
          <t>Use of Color</t>
        </is>
      </c>
      <c r="C9" s="13" t="inlineStr">
        <is>
          <t>A</t>
        </is>
      </c>
      <c r="D9" s="15" t="inlineStr">
        <is>
          <t>Perceivable</t>
        </is>
      </c>
      <c r="E9" s="23" t="n">
        <v>1</v>
      </c>
      <c r="F9" s="43" t="inlineStr">
        <is>
          <t>Partial</t>
        </is>
      </c>
      <c r="G9" s="15">
        <f>IF(F9="Pass",1,IF(F9="Partial",0.5,IF(F9="Fail",0,0)))</f>
        <v/>
      </c>
      <c r="H9" s="34" t="inlineStr">
        <is>
          <t>Settings toggles show state by knob position and teal colour only, with no ON / OFF text (S2-17). Credits are green with no '+' sign (S2-9).</t>
        </is>
      </c>
      <c r="I9" s="23" t="n">
        <v>2</v>
      </c>
      <c r="J9" s="15">
        <f>E9*G9</f>
        <v/>
      </c>
      <c r="K9" s="39" t="inlineStr">
        <is>
          <t>Applies as written; on native software this covers icon-only state indicators as much as web colour cues.</t>
        </is>
      </c>
      <c r="L9" s="15">
        <f>IF(OR(F9="Pass",F9="Partial",F9="Fail"),1,0)</f>
        <v/>
      </c>
      <c r="M9" s="62" t="inlineStr">
        <is>
          <t>Expose toggle state programmatically with a text cue. Prefix credits with '+'.</t>
        </is>
      </c>
    </row>
    <row r="10">
      <c r="A10" s="29" t="inlineStr">
        <is>
          <t>2.1.1</t>
        </is>
      </c>
      <c r="B10" s="25" t="inlineStr">
        <is>
          <t>Keyboard / assistive-tech equivalent</t>
        </is>
      </c>
      <c r="C10" s="13" t="inlineStr">
        <is>
          <t>A</t>
        </is>
      </c>
      <c r="D10" s="29" t="inlineStr">
        <is>
          <t>Operable</t>
        </is>
      </c>
      <c r="E10" s="42" t="n">
        <v>2</v>
      </c>
      <c r="F10" s="50" t="inlineStr">
        <is>
          <t>Not Tested</t>
        </is>
      </c>
      <c r="G10" s="29">
        <f>IF(F10="Pass",1,IF(F10="Partial",0.5,IF(F10="Fail",0,0)))</f>
        <v/>
      </c>
      <c r="H10" s="45" t="inlineStr">
        <is>
          <t>Requires manual Switch Access / external keyboard testing.</t>
        </is>
      </c>
      <c r="I10" s="42" t="inlineStr">
        <is>
          <t>-</t>
        </is>
      </c>
      <c r="J10" s="29">
        <f>E10*G10</f>
        <v/>
      </c>
      <c r="K10" s="46" t="inlineStr">
        <is>
          <t>'Keyboard' -&gt; 'keyboard interface', which WCAG2ICT clarifies includes assistive technologies such as Switch Access/Full Keyboard Access that emulate key input, not only a physical keyboard.</t>
        </is>
      </c>
      <c r="L10" s="29">
        <f>IF(OR(F10="Pass",F10="Partial",F10="Fail"),1,0)</f>
        <v/>
      </c>
      <c r="M10" s="57" t="inlineStr">
        <is>
          <t>No fix to prescribe yet - conduct the manual test first to confirm actual status.</t>
        </is>
      </c>
    </row>
    <row r="11">
      <c r="A11" s="15" t="inlineStr">
        <is>
          <t>2.4.3</t>
        </is>
      </c>
      <c r="B11" s="11" t="inlineStr">
        <is>
          <t>Focus Order</t>
        </is>
      </c>
      <c r="C11" s="13" t="inlineStr">
        <is>
          <t>A</t>
        </is>
      </c>
      <c r="D11" s="15" t="inlineStr">
        <is>
          <t>Operable</t>
        </is>
      </c>
      <c r="E11" s="23" t="n">
        <v>3</v>
      </c>
      <c r="F11" s="50" t="inlineStr">
        <is>
          <t>Not Tested</t>
        </is>
      </c>
      <c r="G11" s="15">
        <f>IF(F11="Pass",1,IF(F11="Partial",0.5,IF(F11="Fail",0,0)))</f>
        <v/>
      </c>
      <c r="H11" s="34" t="inlineStr">
        <is>
          <t>Requires manual TalkBack testing.</t>
        </is>
      </c>
      <c r="I11" s="23" t="inlineStr">
        <is>
          <t>-</t>
        </is>
      </c>
      <c r="J11" s="15">
        <f>E11*G11</f>
        <v/>
      </c>
      <c r="K11" s="39" t="inlineStr">
        <is>
          <t>Applies as written to the platform's own focus/accessibility-cursor order.</t>
        </is>
      </c>
      <c r="L11" s="15">
        <f>IF(OR(F11="Pass",F11="Partial",F11="Fail"),1,0)</f>
        <v/>
      </c>
      <c r="M11" s="53" t="inlineStr">
        <is>
          <t>No fix to prescribe yet - conduct the manual test first to confirm actual status.</t>
        </is>
      </c>
    </row>
    <row r="12">
      <c r="A12" s="29" t="inlineStr">
        <is>
          <t>2.4.4</t>
        </is>
      </c>
      <c r="B12" s="25" t="inlineStr">
        <is>
          <t>Link Purpose (In Context)</t>
        </is>
      </c>
      <c r="C12" s="13" t="inlineStr">
        <is>
          <t>A</t>
        </is>
      </c>
      <c r="D12" s="29" t="inlineStr">
        <is>
          <t>Operable</t>
        </is>
      </c>
      <c r="E12" s="42" t="n">
        <v>2</v>
      </c>
      <c r="F12" s="26" t="inlineStr">
        <is>
          <t>Fail</t>
        </is>
      </c>
      <c r="G12" s="29">
        <f>IF(F12="Pass",1,IF(F12="Partial",0.5,IF(F12="Fail",0,0)))</f>
        <v/>
      </c>
      <c r="H12" s="45" t="inlineStr">
        <is>
          <t>The promo call-to-action is labelled 'CLICK HERE' (S1-1). The balance eye has an empty speakable text, duplicated with the share icon (S2-2/6/8). The '1-Tap Payment' tile's label begins with a stray comma (S2-5).</t>
        </is>
      </c>
      <c r="I12" s="42" t="n">
        <v>8</v>
      </c>
      <c r="J12" s="29">
        <f>E12*G12</f>
        <v/>
      </c>
      <c r="K12" s="46" t="inlineStr">
        <is>
          <t>'Link' -&gt; any control that navigates or triggers an action (a quick-link icon, a list row); purpose must be determinable from its accessible name or surrounding context.</t>
        </is>
      </c>
      <c r="L12" s="29">
        <f>IF(OR(F12="Pass",F12="Partial",F12="Fail"),1,0)</f>
        <v/>
      </c>
      <c r="M12" s="64" t="inlineStr">
        <is>
          <t>Rename 'CLICK HERE' to its destination (e.g. 'View Dangote IPO offer'), give the eye / share icons purpose names, and clean the ', Add 1-Tap Payment' label.</t>
        </is>
      </c>
    </row>
    <row r="13">
      <c r="A13" s="15" t="inlineStr">
        <is>
          <t>2.5.1</t>
        </is>
      </c>
      <c r="B13" s="11" t="inlineStr">
        <is>
          <t>Pointer Gestures</t>
        </is>
      </c>
      <c r="C13" s="13" t="inlineStr">
        <is>
          <t>A</t>
        </is>
      </c>
      <c r="D13" s="15" t="inlineStr">
        <is>
          <t>Operable</t>
        </is>
      </c>
      <c r="E13" s="23" t="n">
        <v>1</v>
      </c>
      <c r="F13" s="54" t="inlineStr">
        <is>
          <t>Pass</t>
        </is>
      </c>
      <c r="G13" s="15">
        <f>IF(F13="Pass",1,IF(F13="Partial",0.5,IF(F13="Fail",0,0)))</f>
        <v/>
      </c>
      <c r="H13" s="34" t="inlineStr">
        <is>
          <t>Account carousel and rotating 'Featured' banner. No swipe-only or multi-point gestures observed.</t>
        </is>
      </c>
      <c r="I13" s="23" t="inlineStr">
        <is>
          <t>-</t>
        </is>
      </c>
      <c r="J13" s="15">
        <f>E13*G13</f>
        <v/>
      </c>
      <c r="K13" s="39" t="inlineStr">
        <is>
          <t>Applies as written; written with touch interfaces in mind from WCAG 2.1 onward.</t>
        </is>
      </c>
      <c r="L13" s="15">
        <f>IF(OR(F13="Pass",F13="Partial",F13="Fail"),1,0)</f>
        <v/>
      </c>
      <c r="M13" s="53" t="inlineStr">
        <is>
          <t>No action needed on current evidence.</t>
        </is>
      </c>
    </row>
    <row r="14">
      <c r="A14" s="29" t="inlineStr">
        <is>
          <t>2.5.2</t>
        </is>
      </c>
      <c r="B14" s="25" t="inlineStr">
        <is>
          <t>Pointer Cancellation</t>
        </is>
      </c>
      <c r="C14" s="13" t="inlineStr">
        <is>
          <t>A</t>
        </is>
      </c>
      <c r="D14" s="29" t="inlineStr">
        <is>
          <t>Operable</t>
        </is>
      </c>
      <c r="E14" s="42" t="n">
        <v>1</v>
      </c>
      <c r="F14" s="50" t="inlineStr">
        <is>
          <t>Not Tested</t>
        </is>
      </c>
      <c r="G14" s="29">
        <f>IF(F14="Pass",1,IF(F14="Partial",0.5,IF(F14="Fail",0,0)))</f>
        <v/>
      </c>
      <c r="H14" s="45" t="inlineStr">
        <is>
          <t>Requires manual down-event/up-event testing.</t>
        </is>
      </c>
      <c r="I14" s="42" t="inlineStr">
        <is>
          <t>-</t>
        </is>
      </c>
      <c r="J14" s="29">
        <f>E14*G14</f>
        <v/>
      </c>
      <c r="K14" s="46" t="inlineStr">
        <is>
          <t>Applies as written to native touch handling (down-event vs up-event activation).</t>
        </is>
      </c>
      <c r="L14" s="29">
        <f>IF(OR(F14="Pass",F14="Partial",F14="Fail"),1,0)</f>
        <v/>
      </c>
      <c r="M14" s="57" t="inlineStr">
        <is>
          <t>No fix to prescribe yet - conduct the manual test first to confirm actual status.</t>
        </is>
      </c>
    </row>
    <row r="15">
      <c r="A15" s="15" t="inlineStr">
        <is>
          <t>2.5.3</t>
        </is>
      </c>
      <c r="B15" s="11" t="inlineStr">
        <is>
          <t>Label in Name</t>
        </is>
      </c>
      <c r="C15" s="13" t="inlineStr">
        <is>
          <t>A</t>
        </is>
      </c>
      <c r="D15" s="15" t="inlineStr">
        <is>
          <t>Operable</t>
        </is>
      </c>
      <c r="E15" s="23" t="n">
        <v>2</v>
      </c>
      <c r="F15" s="43" t="inlineStr">
        <is>
          <t>Partial</t>
        </is>
      </c>
      <c r="G15" s="15">
        <f>IF(F15="Pass",1,IF(F15="Partial",0.5,IF(F15="Fail",0,0)))</f>
        <v/>
      </c>
      <c r="H15" s="34" t="inlineStr">
        <is>
          <t>Visible text not in the accessible name: settings rows (S2-17), 'Privacy and Security' (S2-18), the chat message field (S2-12). Two labels contain action words ('CLICK HERE', 'Tap').</t>
        </is>
      </c>
      <c r="I15" s="23" t="n">
        <v>7</v>
      </c>
      <c r="J15" s="15">
        <f>E15*G15</f>
        <v/>
      </c>
      <c r="K15" s="39" t="inlineStr">
        <is>
          <t>Applies as written: the programmatic accessible name must contain the visible label text so voice-control users can reference what they see.</t>
        </is>
      </c>
      <c r="L15" s="15">
        <f>IF(OR(F15="Pass",F15="Partial",F15="Fail"),1,0)</f>
        <v/>
      </c>
      <c r="M15" s="62" t="inlineStr">
        <is>
          <t>Make each settings row's accessible name include its visible text. Remove 'click' / 'tap' from content descriptions.</t>
        </is>
      </c>
    </row>
    <row r="16">
      <c r="A16" s="29" t="inlineStr">
        <is>
          <t>3.3.1</t>
        </is>
      </c>
      <c r="B16" s="25" t="inlineStr">
        <is>
          <t>Error Identification</t>
        </is>
      </c>
      <c r="C16" s="13" t="inlineStr">
        <is>
          <t>A</t>
        </is>
      </c>
      <c r="D16" s="29" t="inlineStr">
        <is>
          <t>Understandable</t>
        </is>
      </c>
      <c r="E16" s="42" t="n">
        <v>3</v>
      </c>
      <c r="F16" s="26" t="inlineStr">
        <is>
          <t>Partial</t>
        </is>
      </c>
      <c r="G16" s="29">
        <f>IF(F16="Pass",1,IF(F16="Partial",0.5,IF(F16="Fail",0,0)))</f>
        <v/>
      </c>
      <c r="H16" s="45" t="inlineStr">
        <is>
          <t>The invalid account number shows the red helper text '10 digits required' (S1-3), so the error is described in text. It is partly hidden behind the keyboard, and whether it is announced was not confirmed.</t>
        </is>
      </c>
      <c r="I16" s="42" t="n">
        <v>1</v>
      </c>
      <c r="J16" s="29">
        <f>E16*G16</f>
        <v/>
      </c>
      <c r="K16" s="46" t="inlineStr">
        <is>
          <t>Applies as written; the error must be identified through the accessibility API (e.g. announced), not only shown visually.</t>
        </is>
      </c>
      <c r="L16" s="29">
        <f>IF(OR(F16="Pass",F16="Partial",F16="Fail"),1,0)</f>
        <v/>
      </c>
      <c r="M16" s="64" t="inlineStr">
        <is>
          <t>Announce the helper error through a live region and scroll it above the keyboard.</t>
        </is>
      </c>
    </row>
    <row r="17">
      <c r="A17" s="15" t="inlineStr">
        <is>
          <t>3.3.2</t>
        </is>
      </c>
      <c r="B17" s="11" t="inlineStr">
        <is>
          <t>Labels or Instructions</t>
        </is>
      </c>
      <c r="C17" s="13" t="inlineStr">
        <is>
          <t>A</t>
        </is>
      </c>
      <c r="D17" s="15" t="inlineStr">
        <is>
          <t>Understandable</t>
        </is>
      </c>
      <c r="E17" s="23" t="n">
        <v>3</v>
      </c>
      <c r="F17" s="26" t="inlineStr">
        <is>
          <t>Fail</t>
        </is>
      </c>
      <c r="G17" s="15">
        <f>IF(F17="Pass",1,IF(F17="Partial",0.5,IF(F17="Fail",0,0)))</f>
        <v/>
      </c>
      <c r="H17" s="34" t="inlineStr">
        <is>
          <t>On the Access Transfers form, Beneficiary Account Number, Amount and Narration are placeholder-only and flagged as unlabelled by the scanner (S1-2). The Other Banks form does use a persistent floating label (S1-3), so the two transfer forms are inconsistent.</t>
        </is>
      </c>
      <c r="I17" s="23" t="n">
        <v>3</v>
      </c>
      <c r="J17" s="15">
        <f>E17*G17</f>
        <v/>
      </c>
      <c r="K17" s="39" t="inlineStr">
        <is>
          <t>Applies as written; WCAG2ICT notes placeholder-only text that disappears on input/focus is a common native-software failure mode of this criterion.</t>
        </is>
      </c>
      <c r="L17" s="15">
        <f>IF(OR(F17="Pass",F17="Partial",F17="Fail"),1,0)</f>
        <v/>
      </c>
      <c r="M17" s="41" t="inlineStr">
        <is>
          <t>Apply the Other Banks form's floating-label pattern to the Access Transfers inputs.</t>
        </is>
      </c>
    </row>
    <row r="18">
      <c r="A18" s="29" t="inlineStr">
        <is>
          <t>3.3.9</t>
        </is>
      </c>
      <c r="B18" s="25" t="inlineStr">
        <is>
          <t>Redundant Entry</t>
        </is>
      </c>
      <c r="C18" s="13" t="inlineStr">
        <is>
          <t>A</t>
        </is>
      </c>
      <c r="D18" s="29" t="inlineStr">
        <is>
          <t>Understandable</t>
        </is>
      </c>
      <c r="E18" s="42" t="n">
        <v>1</v>
      </c>
      <c r="F18" s="50" t="inlineStr">
        <is>
          <t>Not Tested</t>
        </is>
      </c>
      <c r="G18" s="29">
        <f>IF(F18="Pass",1,IF(F18="Partial",0.5,IF(F18="Fail",0,0)))</f>
        <v/>
      </c>
      <c r="H18" s="45" t="inlineStr">
        <is>
          <t>Requires manual walkthrough. Positive signals: Frequent Beneficiaries, 'Find Beneficiary', and 'Save Beneficiary' on the success screen (S1-2, S2-3, S2-5).</t>
        </is>
      </c>
      <c r="I18" s="42" t="inlineStr">
        <is>
          <t>-</t>
        </is>
      </c>
      <c r="J18" s="29">
        <f>E18*G18</f>
        <v/>
      </c>
      <c r="K18" s="46" t="inlineStr">
        <is>
          <t>Applies as written; added in WCAG 2.2 with no web-specific terms.</t>
        </is>
      </c>
      <c r="L18" s="29">
        <f>IF(OR(F18="Pass",F18="Partial",F18="Fail"),1,0)</f>
        <v/>
      </c>
      <c r="M18" s="57" t="inlineStr">
        <is>
          <t>No fix to prescribe yet - conduct the manual test first to confirm actual status.</t>
        </is>
      </c>
    </row>
    <row r="19">
      <c r="A19" s="15" t="inlineStr">
        <is>
          <t>1.3.5</t>
        </is>
      </c>
      <c r="B19" s="11" t="inlineStr">
        <is>
          <t>Identify Input Purpose</t>
        </is>
      </c>
      <c r="C19" s="48" t="inlineStr">
        <is>
          <t>AA</t>
        </is>
      </c>
      <c r="D19" s="15" t="inlineStr">
        <is>
          <t>Perceivable</t>
        </is>
      </c>
      <c r="E19" s="23" t="n">
        <v>2</v>
      </c>
      <c r="F19" s="50" t="inlineStr">
        <is>
          <t>Not Tested</t>
        </is>
      </c>
      <c r="G19" s="15">
        <f>IF(F19="Pass",1,IF(F19="Partial",0.5,IF(F19="Fail",0,0)))</f>
        <v/>
      </c>
      <c r="H19" s="34" t="inlineStr">
        <is>
          <t>Requires manual check: do fields like phone number / amount expose a standard input type so OS-level autofill can offer to complete them?</t>
        </is>
      </c>
      <c r="I19" s="23" t="inlineStr">
        <is>
          <t>-</t>
        </is>
      </c>
      <c r="J19" s="15">
        <f>E19*G19</f>
        <v/>
      </c>
      <c r="K19" s="39" t="inlineStr">
        <is>
          <t>'Input purpose... can be programmatically determined' maps to using standard platform input types/autofill hints (e.g. Android autofillHints) rather than a generic text field.</t>
        </is>
      </c>
      <c r="L19" s="15">
        <f>IF(OR(F19="Pass",F19="Partial",F19="Fail"),1,0)</f>
        <v/>
      </c>
      <c r="M19" s="53" t="inlineStr">
        <is>
          <t>No fix to prescribe yet - conduct the manual test first to confirm actual status.</t>
        </is>
      </c>
    </row>
    <row r="20">
      <c r="A20" s="29" t="inlineStr">
        <is>
          <t>3.2.1</t>
        </is>
      </c>
      <c r="B20" s="25" t="inlineStr">
        <is>
          <t>On Focus</t>
        </is>
      </c>
      <c r="C20" s="13" t="inlineStr">
        <is>
          <t>A</t>
        </is>
      </c>
      <c r="D20" s="29" t="inlineStr">
        <is>
          <t>Operable</t>
        </is>
      </c>
      <c r="E20" s="42" t="n">
        <v>2</v>
      </c>
      <c r="F20" s="50" t="inlineStr">
        <is>
          <t>Not Tested</t>
        </is>
      </c>
      <c r="G20" s="29">
        <f>IF(F20="Pass",1,IF(F20="Partial",0.5,IF(F20="Fail",0,0)))</f>
        <v/>
      </c>
      <c r="H20" s="45" t="inlineStr">
        <is>
          <t>Requires manual check: does simply moving focus onto a field (without activating it) ever trigger a navigation or submission?</t>
        </is>
      </c>
      <c r="I20" s="42" t="inlineStr">
        <is>
          <t>-</t>
        </is>
      </c>
      <c r="J20" s="29">
        <f>E20*G20</f>
        <v/>
      </c>
      <c r="K20" s="46" t="inlineStr">
        <is>
          <t>Applies as written; on native software this covers focus changes triggered by the accessibility cursor, not only literal keyboard focus.</t>
        </is>
      </c>
      <c r="L20" s="29">
        <f>IF(OR(F20="Pass",F20="Partial",F20="Fail"),1,0)</f>
        <v/>
      </c>
      <c r="M20" s="57" t="inlineStr">
        <is>
          <t>No fix to prescribe yet - conduct the manual test first to confirm actual status.</t>
        </is>
      </c>
    </row>
    <row r="21" ht="15.75" customHeight="1" s="78">
      <c r="A21" s="15" t="inlineStr">
        <is>
          <t>3.2.2</t>
        </is>
      </c>
      <c r="B21" s="11" t="inlineStr">
        <is>
          <t>On Input</t>
        </is>
      </c>
      <c r="C21" s="13" t="inlineStr">
        <is>
          <t>A</t>
        </is>
      </c>
      <c r="D21" s="15" t="inlineStr">
        <is>
          <t>Operable</t>
        </is>
      </c>
      <c r="E21" s="23" t="n">
        <v>2</v>
      </c>
      <c r="F21" s="50" t="inlineStr">
        <is>
          <t>Not Tested</t>
        </is>
      </c>
      <c r="G21" s="15">
        <f>IF(F21="Pass",1,IF(F21="Partial",0.5,IF(F21="Fail",0,0)))</f>
        <v/>
      </c>
      <c r="H21" s="34" t="inlineStr">
        <is>
          <t>Requires manual check: does changing a field's value (e.g. selecting MTN vs Airtel) ever submit or navigate without an explicit confirm action?</t>
        </is>
      </c>
      <c r="I21" s="23" t="inlineStr">
        <is>
          <t>-</t>
        </is>
      </c>
      <c r="J21" s="15">
        <f>E21*G21</f>
        <v/>
      </c>
      <c r="K21" s="39" t="inlineStr">
        <is>
          <t>Applies as written; important on forms with toggles/selectors (network, Self/Other) that a screen-reader user changes one at a time.</t>
        </is>
      </c>
      <c r="L21" s="15">
        <f>IF(OR(F21="Pass",F21="Partial",F21="Fail"),1,0)</f>
        <v/>
      </c>
      <c r="M21" s="53" t="inlineStr">
        <is>
          <t>No fix to prescribe yet - conduct the manual test first to confirm actual status.</t>
        </is>
      </c>
    </row>
    <row r="22" ht="15.75" customHeight="1" s="78">
      <c r="A22" s="29" t="inlineStr">
        <is>
          <t>4.1.2</t>
        </is>
      </c>
      <c r="B22" s="25" t="inlineStr">
        <is>
          <t>Name, Role, Value</t>
        </is>
      </c>
      <c r="C22" s="13" t="inlineStr">
        <is>
          <t>A</t>
        </is>
      </c>
      <c r="D22" s="29" t="inlineStr">
        <is>
          <t>Robust</t>
        </is>
      </c>
      <c r="E22" s="42" t="n">
        <v>3</v>
      </c>
      <c r="F22" s="26" t="inlineStr">
        <is>
          <t>Fail</t>
        </is>
      </c>
      <c r="G22" s="29">
        <f>IF(F22="Pass",1,IF(F22="Partial",0.5,IF(F22="Fail",0,0)))</f>
        <v/>
      </c>
      <c r="H22" s="45" t="inlineStr">
        <is>
          <t>9 unnamed items plus 4 duplicate-description findings. The settings toggles all announce just 'ON' with no name (3 items, S2-17). The balance eye and share icons have empty names (S2-2/6/8).</t>
        </is>
      </c>
      <c r="I22" s="42" t="n">
        <v>13</v>
      </c>
      <c r="J22" s="29">
        <f>E22*G22</f>
        <v/>
      </c>
      <c r="K22" s="46" t="inlineStr">
        <is>
          <t>This is the core native-software criterion in WCAG2ICT: 'name, role, value' maps directly to what a platform accessibility API exposes for each control - exactly what Google Accessibility Scanner tests.</t>
        </is>
      </c>
      <c r="L22" s="29">
        <f>IF(OR(F22="Pass",F22="Partial",F22="Fail"),1,0)</f>
        <v/>
      </c>
      <c r="M22" s="64" t="inlineStr">
        <is>
          <t>Give every toggle a name, a switch role and a state. Name the icon buttons. Retest the side menu and chat WebView for exposed roles.</t>
        </is>
      </c>
    </row>
    <row r="23" ht="15.75" customHeight="1" s="78">
      <c r="A23" s="15" t="inlineStr">
        <is>
          <t>1.4.3</t>
        </is>
      </c>
      <c r="B23" s="11" t="inlineStr">
        <is>
          <t>Contrast (Minimum)</t>
        </is>
      </c>
      <c r="C23" s="48" t="inlineStr">
        <is>
          <t>AA</t>
        </is>
      </c>
      <c r="D23" s="15" t="inlineStr">
        <is>
          <t>Perceivable</t>
        </is>
      </c>
      <c r="E23" s="23" t="n">
        <v>1</v>
      </c>
      <c r="F23" s="26" t="inlineStr">
        <is>
          <t>Fail</t>
        </is>
      </c>
      <c r="G23" s="15">
        <f>IF(F23="Pass",1,IF(F23="Partial",0.5,IF(F23="Fail",0,0)))</f>
        <v/>
      </c>
      <c r="H23" s="34" t="inlineStr">
        <is>
          <t>40 text-contrast failures, 38 below 3:1. Recurring: blue icon glyphs #4887EC on #3F3F3F at 2.95:1 (balance eye / share, chevrons, settings icons); white on orange #FF8200 buttons at 2.49:1 (PROCEED, CLOSE, CLICK HERE); the success check at 2.47:1; the filter icon at 2.10:1; settings rows at 1.16-1.51:1 (S2-17).</t>
        </is>
      </c>
      <c r="I23" s="23" t="n">
        <v>40</v>
      </c>
      <c r="J23" s="15">
        <f>E23*G23</f>
        <v/>
      </c>
      <c r="K23" s="39" t="inlineStr">
        <is>
          <t>Applies as written; 'text' includes native UI labels, not only web text.</t>
        </is>
      </c>
      <c r="L23" s="15">
        <f>IF(OR(F23="Pass",F23="Partial",F23="Fail"),1,0)</f>
        <v/>
      </c>
      <c r="M23" s="41" t="inlineStr">
        <is>
          <t>Use a darker orange (or dark text) for primary buttons to reach 4.5:1. Brighten the blue icon glyphs on the grey circles to at least 3:1. Fix the settings-screen text colours.</t>
        </is>
      </c>
    </row>
    <row r="24" ht="15.75" customHeight="1" s="78">
      <c r="A24" s="29" t="inlineStr">
        <is>
          <t>1.4.4</t>
        </is>
      </c>
      <c r="B24" s="25" t="inlineStr">
        <is>
          <t>Resize Text</t>
        </is>
      </c>
      <c r="C24" s="48" t="inlineStr">
        <is>
          <t>AA</t>
        </is>
      </c>
      <c r="D24" s="29" t="inlineStr">
        <is>
          <t>Perceivable</t>
        </is>
      </c>
      <c r="E24" s="42" t="n">
        <v>1</v>
      </c>
      <c r="F24" s="50" t="inlineStr">
        <is>
          <t>Not Tested</t>
        </is>
      </c>
      <c r="G24" s="29">
        <f>IF(F24="Pass",1,IF(F24="Partial",0.5,IF(F24="Fail",0,0)))</f>
        <v/>
      </c>
      <c r="H24" s="45" t="inlineStr">
        <is>
          <t>Requires manual OS font-scaling test.</t>
        </is>
      </c>
      <c r="I24" s="42" t="inlineStr">
        <is>
          <t>-</t>
        </is>
      </c>
      <c r="J24" s="29">
        <f>E24*G24</f>
        <v/>
      </c>
      <c r="K24" s="46" t="inlineStr">
        <is>
          <t>Applies with a platform-specific mechanism: resizing happens via the OS text-scale setting rather than browser zoom.</t>
        </is>
      </c>
      <c r="L24" s="29">
        <f>IF(OR(F24="Pass",F24="Partial",F24="Fail"),1,0)</f>
        <v/>
      </c>
      <c r="M24" s="57" t="inlineStr">
        <is>
          <t>No fix to prescribe yet - conduct the manual test first to confirm actual status.</t>
        </is>
      </c>
    </row>
    <row r="25" ht="15.75" customHeight="1" s="78">
      <c r="A25" s="15" t="inlineStr">
        <is>
          <t>1.4.10</t>
        </is>
      </c>
      <c r="B25" s="11" t="inlineStr">
        <is>
          <t>Reflow</t>
        </is>
      </c>
      <c r="C25" s="48" t="inlineStr">
        <is>
          <t>AA</t>
        </is>
      </c>
      <c r="D25" s="15" t="inlineStr">
        <is>
          <t>Perceivable</t>
        </is>
      </c>
      <c r="E25" s="23" t="n">
        <v>1</v>
      </c>
      <c r="F25" s="50" t="inlineStr">
        <is>
          <t>Not Tested</t>
        </is>
      </c>
      <c r="G25" s="15">
        <f>IF(F25="Pass",1,IF(F25="Partial",0.5,IF(F25="Fail",0,0)))</f>
        <v/>
      </c>
      <c r="H25" s="34" t="inlineStr">
        <is>
          <t>Requires manual OS font-scaling / zoom test.</t>
        </is>
      </c>
      <c r="I25" s="23" t="inlineStr">
        <is>
          <t>-</t>
        </is>
      </c>
      <c r="J25" s="15">
        <f>E25*G25</f>
        <v/>
      </c>
      <c r="K25" s="39" t="inlineStr">
        <is>
          <t>WCAG2ICT notes this applies where the software supports resizing/zoom; if the app has no zoom/scale feature at all, evaluate against the OS-level scaling it does support.</t>
        </is>
      </c>
      <c r="L25" s="15">
        <f>IF(OR(F25="Pass",F25="Partial",F25="Fail"),1,0)</f>
        <v/>
      </c>
      <c r="M25" s="53" t="inlineStr">
        <is>
          <t>No fix to prescribe yet - conduct the manual test first to confirm actual status.</t>
        </is>
      </c>
    </row>
    <row r="26" ht="15.75" customHeight="1" s="78">
      <c r="A26" s="29" t="inlineStr">
        <is>
          <t>1.4.11</t>
        </is>
      </c>
      <c r="B26" s="25" t="inlineStr">
        <is>
          <t>Non-text Contrast</t>
        </is>
      </c>
      <c r="C26" s="48" t="inlineStr">
        <is>
          <t>AA</t>
        </is>
      </c>
      <c r="D26" s="29" t="inlineStr">
        <is>
          <t>Perceivable</t>
        </is>
      </c>
      <c r="E26" s="42" t="n">
        <v>2</v>
      </c>
      <c r="F26" s="26" t="inlineStr">
        <is>
          <t>Fail</t>
        </is>
      </c>
      <c r="G26" s="29">
        <f>IF(F26="Pass",1,IF(F26="Partial",0.5,IF(F26="Fail",0,0)))</f>
        <v/>
      </c>
      <c r="H26" s="45" t="inlineStr">
        <is>
          <t>The blue icons on grey circles (about 21 findings, reported by the scanner as text contrast) are at 2.95:1, below 3:1. The Featured banner image is 2.45:1.</t>
        </is>
      </c>
      <c r="I26" s="42" t="n">
        <v>22</v>
      </c>
      <c r="J26" s="29">
        <f>E26*G26</f>
        <v/>
      </c>
      <c r="K26" s="46" t="inlineStr">
        <is>
          <t>Applies as written to native icons and UI component boundaries.</t>
        </is>
      </c>
      <c r="L26" s="29">
        <f>IF(OR(F26="Pass",F26="Partial",F26="Fail"),1,0)</f>
        <v/>
      </c>
      <c r="M26" s="64" t="inlineStr">
        <is>
          <t>Raise the icon / background pair (#4887EC on #3F3F3F) to at least 3:1.</t>
        </is>
      </c>
    </row>
    <row r="27" ht="15.75" customHeight="1" s="78">
      <c r="A27" s="15" t="inlineStr">
        <is>
          <t>2.4.6</t>
        </is>
      </c>
      <c r="B27" s="11" t="inlineStr">
        <is>
          <t>Headings and Labels</t>
        </is>
      </c>
      <c r="C27" s="48" t="inlineStr">
        <is>
          <t>AA</t>
        </is>
      </c>
      <c r="D27" s="15" t="inlineStr">
        <is>
          <t>Operable</t>
        </is>
      </c>
      <c r="E27" s="23" t="n">
        <v>1</v>
      </c>
      <c r="F27" s="54" t="inlineStr">
        <is>
          <t>Pass</t>
        </is>
      </c>
      <c r="G27" s="15">
        <f>IF(F27="Pass",1,IF(F27="Partial",0.5,IF(F27="Fail",0,0)))</f>
        <v/>
      </c>
      <c r="H27" s="34" t="inlineStr">
        <is>
          <t>Descriptive titles ('Access Transfers', 'Other Banks Transfers', 'Transaction History', 'Support', 'Profile'). Home, the menu and Livechat have no title.</t>
        </is>
      </c>
      <c r="I27" s="23" t="inlineStr">
        <is>
          <t>-</t>
        </is>
      </c>
      <c r="J27" s="15">
        <f>E27*G27</f>
        <v/>
      </c>
      <c r="K27" s="39" t="inlineStr">
        <is>
          <t>'Web page' -&gt; 'screen/view'; each screen and section needs a descriptive, programmatically exposed title/heading.</t>
        </is>
      </c>
      <c r="L27" s="15">
        <f>IF(OR(F27="Pass",F27="Partial",F27="Fail"),1,0)</f>
        <v/>
      </c>
      <c r="M27" s="53" t="inlineStr">
        <is>
          <t>Add titles to Home and the side menu.</t>
        </is>
      </c>
    </row>
    <row r="28" ht="15.75" customHeight="1" s="78">
      <c r="A28" s="29" t="inlineStr">
        <is>
          <t>2.4.7</t>
        </is>
      </c>
      <c r="B28" s="25" t="inlineStr">
        <is>
          <t>Focus Visible</t>
        </is>
      </c>
      <c r="C28" s="48" t="inlineStr">
        <is>
          <t>AA</t>
        </is>
      </c>
      <c r="D28" s="29" t="inlineStr">
        <is>
          <t>Operable</t>
        </is>
      </c>
      <c r="E28" s="42" t="n">
        <v>1</v>
      </c>
      <c r="F28" s="50" t="inlineStr">
        <is>
          <t>Not Tested</t>
        </is>
      </c>
      <c r="G28" s="29">
        <f>IF(F28="Pass",1,IF(F28="Partial",0.5,IF(F28="Fail",0,0)))</f>
        <v/>
      </c>
      <c r="H28" s="45" t="inlineStr">
        <is>
          <t>Requires manual keyboard/switch focus-indicator testing.</t>
        </is>
      </c>
      <c r="I28" s="42" t="inlineStr">
        <is>
          <t>-</t>
        </is>
      </c>
      <c r="J28" s="29">
        <f>E28*G28</f>
        <v/>
      </c>
      <c r="K28" s="46" t="inlineStr">
        <is>
          <t>Applies where the platform supports a visible focus indicator (external keyboard, Switch Access, D-pad); not exercised by pure touch/screen-reader use, so needs manual testing on the relevant input mode.</t>
        </is>
      </c>
      <c r="L28" s="29">
        <f>IF(OR(F28="Pass",F28="Partial",F28="Fail"),1,0)</f>
        <v/>
      </c>
      <c r="M28" s="57" t="inlineStr">
        <is>
          <t>No fix to prescribe yet - conduct the manual test first to confirm actual status.</t>
        </is>
      </c>
    </row>
    <row r="29" ht="15.75" customHeight="1" s="78">
      <c r="A29" s="15" t="inlineStr">
        <is>
          <t>2.5.8</t>
        </is>
      </c>
      <c r="B29" s="11" t="inlineStr">
        <is>
          <t>Target Size (Minimum, 24x24px)</t>
        </is>
      </c>
      <c r="C29" s="48" t="inlineStr">
        <is>
          <t>AA</t>
        </is>
      </c>
      <c r="D29" s="15" t="inlineStr">
        <is>
          <t>Operable</t>
        </is>
      </c>
      <c r="E29" s="23" t="n">
        <v>2</v>
      </c>
      <c r="F29" s="43" t="inlineStr">
        <is>
          <t>Fail</t>
        </is>
      </c>
      <c r="G29" s="15">
        <f>IF(F29="Pass",1,IF(F29="Partial",0.5,IF(F29="Fail",0,0)))</f>
        <v/>
      </c>
      <c r="H29" s="34" t="inlineStr">
        <is>
          <t>99 targets flagged. 28 (28%) are below 24dp: 'Upgrade Now' 15dp, 'Find Beneficiary' 18dp, the Access Transfers inputs 15-23dp, 'Don't show me again' 18dp, the carousel dot 20x8dp, 'Recent Transactions' 19dp, the chat input 21dp.</t>
        </is>
      </c>
      <c r="I29" s="23" t="n">
        <v>99</v>
      </c>
      <c r="J29" s="15">
        <f>E29*G29</f>
        <v/>
      </c>
      <c r="K29" s="39" t="inlineStr">
        <is>
          <t>Applies as written to native touch targets; note platform guidance (Android 48dp, Apple 44pt) is stricter than WCAG's own 24px floor - both are reported here.</t>
        </is>
      </c>
      <c r="L29" s="15">
        <f>IF(OR(F29="Pass",F29="Partial",F29="Fail"),1,0)</f>
        <v/>
      </c>
      <c r="M29" s="62" t="inlineStr">
        <is>
          <t>Enlarge the text-link style ('Upgrade Now', 'Find Beneficiary', 'Don't show me again', 'Recent Transactions') and the Access Transfers inputs to at least 24dp (ideally 48dp).</t>
        </is>
      </c>
    </row>
    <row r="30" ht="15.75" customHeight="1" s="78">
      <c r="A30" s="29" t="inlineStr">
        <is>
          <t>3.2.4</t>
        </is>
      </c>
      <c r="B30" s="25" t="inlineStr">
        <is>
          <t>Consistent Identification</t>
        </is>
      </c>
      <c r="C30" s="48" t="inlineStr">
        <is>
          <t>AA</t>
        </is>
      </c>
      <c r="D30" s="29" t="inlineStr">
        <is>
          <t>Understandable</t>
        </is>
      </c>
      <c r="E30" s="42" t="n">
        <v>0</v>
      </c>
      <c r="F30" s="65" t="inlineStr">
        <is>
          <t>N/A</t>
        </is>
      </c>
      <c r="G30" s="29">
        <f>IF(F30="Pass",1,IF(F30="Partial",0.5,IF(F30="Fail",0,0)))</f>
        <v/>
      </c>
      <c r="H30" s="45" t="inlineStr">
        <is>
          <t>Excluded per Section 508 and EN 301 549, which both state (building on WCAG2ICT) that this criterion does not apply to non-web software. Retained here as a visible N/A rather than silently dropped.</t>
        </is>
      </c>
      <c r="I30" s="42" t="inlineStr">
        <is>
          <t>-</t>
        </is>
      </c>
      <c r="J30" s="29">
        <f>E30*G30</f>
        <v/>
      </c>
      <c r="K30" s="46" t="inlineStr">
        <is>
          <t>Explicitly excluded for non-web software by Section 508 and EN 301 549 - not scored.</t>
        </is>
      </c>
      <c r="L30" s="29">
        <f>IF(OR(F30="Pass",F30="Partial",F30="Fail"),1,0)</f>
        <v/>
      </c>
      <c r="M30" s="57" t="inlineStr">
        <is>
          <t>Not applicable - excluded for non-web software.</t>
        </is>
      </c>
    </row>
    <row r="31" ht="15.75" customHeight="1" s="78">
      <c r="A31" s="15" t="inlineStr">
        <is>
          <t>3.3.3</t>
        </is>
      </c>
      <c r="B31" s="11" t="inlineStr">
        <is>
          <t>Error Suggestion</t>
        </is>
      </c>
      <c r="C31" s="48" t="inlineStr">
        <is>
          <t>AA</t>
        </is>
      </c>
      <c r="D31" s="15" t="inlineStr">
        <is>
          <t>Understandable</t>
        </is>
      </c>
      <c r="E31" s="23" t="n">
        <v>1</v>
      </c>
      <c r="F31" s="50" t="inlineStr">
        <is>
          <t>Not Tested</t>
        </is>
      </c>
      <c r="G31" s="15">
        <f>IF(F31="Pass",1,IF(F31="Partial",0.5,IF(F31="Fail",0,0)))</f>
        <v/>
      </c>
      <c r="H31" s="34" t="inlineStr">
        <is>
          <t>Requires manual review of validation-message wording and exposure.</t>
        </is>
      </c>
      <c r="I31" s="23" t="inlineStr">
        <is>
          <t>-</t>
        </is>
      </c>
      <c r="J31" s="15">
        <f>E31*G31</f>
        <v/>
      </c>
      <c r="K31" s="39" t="inlineStr">
        <is>
          <t>Applies as written.</t>
        </is>
      </c>
      <c r="L31" s="15">
        <f>IF(OR(F31="Pass",F31="Partial",F31="Fail"),1,0)</f>
        <v/>
      </c>
      <c r="M31" s="53" t="inlineStr">
        <is>
          <t>No fix to prescribe yet - conduct the manual test first to confirm actual status.</t>
        </is>
      </c>
    </row>
    <row r="32" ht="15.75" customHeight="1" s="78">
      <c r="A32" s="29" t="inlineStr">
        <is>
          <t>3.3.4</t>
        </is>
      </c>
      <c r="B32" s="25" t="inlineStr">
        <is>
          <t>Error Prevention (Legal, Financial, Data)</t>
        </is>
      </c>
      <c r="C32" s="48" t="inlineStr">
        <is>
          <t>AA</t>
        </is>
      </c>
      <c r="D32" s="29" t="inlineStr">
        <is>
          <t>Understandable</t>
        </is>
      </c>
      <c r="E32" s="42" t="n">
        <v>3</v>
      </c>
      <c r="F32" s="43" t="inlineStr">
        <is>
          <t>Partial</t>
        </is>
      </c>
      <c r="G32" s="29">
        <f>IF(F32="Pass",1,IF(F32="Partial",0.5,IF(F32="Fail",0,0)))</f>
        <v/>
      </c>
      <c r="H32" s="45" t="inlineStr">
        <is>
          <t>Input is checked (10-digit validation, beneficiary lookup), but the transfer went from the form (S2-3) straight to 'Transfer Request Successful' (S2-5) with no review screen captured. The success screen omits recipient, amount and fee.</t>
        </is>
      </c>
      <c r="I32" s="42" t="inlineStr">
        <is>
          <t>-</t>
        </is>
      </c>
      <c r="J32" s="29">
        <f>E32*G32</f>
        <v/>
      </c>
      <c r="K32" s="46" t="inlineStr">
        <is>
          <t>Applies as written and is squarely about transactions ('legal commitments, financial transactions'); directly relevant to this app's core function.</t>
        </is>
      </c>
      <c r="L32" s="29">
        <f>IF(OR(F32="Pass",F32="Partial",F32="Fail"),1,0)</f>
        <v/>
      </c>
      <c r="M32" s="47" t="inlineStr">
        <is>
          <t>Add an accessible review step (recipient, amount, fee) before sending, and restate the details on the success screen.</t>
        </is>
      </c>
    </row>
    <row r="33" ht="15.75" customHeight="1" s="78">
      <c r="A33" s="15" t="inlineStr">
        <is>
          <t>3.3.7</t>
        </is>
      </c>
      <c r="B33" s="11" t="inlineStr">
        <is>
          <t>Accessible Authentication (Minimum)</t>
        </is>
      </c>
      <c r="C33" s="48" t="inlineStr">
        <is>
          <t>AA</t>
        </is>
      </c>
      <c r="D33" s="15" t="inlineStr">
        <is>
          <t>Understandable</t>
        </is>
      </c>
      <c r="E33" s="23" t="n">
        <v>3</v>
      </c>
      <c r="F33" s="26" t="inlineStr">
        <is>
          <t>Pass</t>
        </is>
      </c>
      <c r="G33" s="15">
        <f>IF(F33="Pass",1,IF(F33="Partial",0.5,IF(F33="Fail",0,0)))</f>
        <v/>
      </c>
      <c r="H33" s="34" t="inlineStr">
        <is>
          <t>Settings show 'Biometric Login' ON and 'Biometric Transactions' available (S2-17). The login screen itself was not captured (auto-login).</t>
        </is>
      </c>
      <c r="I33" s="23" t="inlineStr">
        <is>
          <t>-</t>
        </is>
      </c>
      <c r="J33" s="15">
        <f>E33*G33</f>
        <v/>
      </c>
      <c r="K33" s="39" t="inlineStr">
        <is>
          <t>Applies as written; added in WCAG 2.2 with no web-specific terms to reinterpret.</t>
        </is>
      </c>
      <c r="L33" s="15">
        <f>IF(OR(F33="Pass",F33="Partial",F33="Fail"),1,0)</f>
        <v/>
      </c>
      <c r="M33" s="41" t="inlineStr">
        <is>
          <t>No action needed on current evidence. Confirm the login screen with TalkBack.</t>
        </is>
      </c>
    </row>
    <row r="34" ht="15.75" customHeight="1" s="78">
      <c r="A34" s="29" t="inlineStr">
        <is>
          <t>4.1.3</t>
        </is>
      </c>
      <c r="B34" s="25" t="inlineStr">
        <is>
          <t>Status Messages</t>
        </is>
      </c>
      <c r="C34" s="48" t="inlineStr">
        <is>
          <t>AA</t>
        </is>
      </c>
      <c r="D34" s="29" t="inlineStr">
        <is>
          <t>Robust</t>
        </is>
      </c>
      <c r="E34" s="42" t="n">
        <v>3</v>
      </c>
      <c r="F34" s="50" t="inlineStr">
        <is>
          <t>Not Tested</t>
        </is>
      </c>
      <c r="G34" s="29">
        <f>IF(F34="Pass",1,IF(F34="Partial",0.5,IF(F34="Fail",0,0)))</f>
        <v/>
      </c>
      <c r="H34" s="45" t="inlineStr">
        <is>
          <t>Requires manual testing of transaction success/failure toast announcements.</t>
        </is>
      </c>
      <c r="I34" s="42" t="inlineStr">
        <is>
          <t>-</t>
        </is>
      </c>
      <c r="J34" s="29">
        <f>E34*G34</f>
        <v/>
      </c>
      <c r="K34" s="46" t="inlineStr">
        <is>
          <t>'Programmatically determined through role or properties' -&gt; exposed via the accessibility API's live-region/announcement mechanism (e.g. Android AccessibilityEvent) so a status change is spoken without moving focus.</t>
        </is>
      </c>
      <c r="L34" s="29">
        <f>IF(OR(F34="Pass",F34="Partial",F34="Fail"),1,0)</f>
        <v/>
      </c>
      <c r="M34" s="57" t="inlineStr">
        <is>
          <t>No fix to prescribe yet - conduct the manual test first to confirm actual status.</t>
        </is>
      </c>
    </row>
    <row r="35" ht="15.75" customHeight="1" s="78">
      <c r="A35" s="15" t="inlineStr">
        <is>
          <t>2.2.1</t>
        </is>
      </c>
      <c r="B35" s="11" t="inlineStr">
        <is>
          <t>Timing Adjustable</t>
        </is>
      </c>
      <c r="C35" s="13" t="inlineStr">
        <is>
          <t>A</t>
        </is>
      </c>
      <c r="D35" s="15" t="inlineStr">
        <is>
          <t>Operable</t>
        </is>
      </c>
      <c r="E35" s="23" t="n">
        <v>3</v>
      </c>
      <c r="F35" s="50" t="inlineStr">
        <is>
          <t>Not Tested</t>
        </is>
      </c>
      <c r="G35" s="15">
        <f>IF(F35="Pass",1,IF(F35="Partial",0.5,IF(F35="Fail",0,0)))</f>
        <v/>
      </c>
      <c r="H35" s="34" t="inlineStr">
        <is>
          <t>Requires manual test: can a screen-reader user extend/disable any time limit on OTP entry, session timeout, or transfer confirmation?</t>
        </is>
      </c>
      <c r="I35" s="23" t="inlineStr">
        <is>
          <t>-</t>
        </is>
      </c>
      <c r="J35" s="15">
        <f>E35*G35</f>
        <v/>
      </c>
      <c r="K35" s="39" t="inlineStr">
        <is>
          <t>Applies as written; particularly relevant to native software session timeouts and OTP countdown timers.</t>
        </is>
      </c>
      <c r="L35" s="15">
        <f>IF(OR(F35="Pass",F35="Partial",F35="Fail"),1,0)</f>
        <v/>
      </c>
      <c r="M35" s="53" t="inlineStr">
        <is>
          <t>No fix to prescribe yet - conduct the manual test first to confirm actual status.</t>
        </is>
      </c>
    </row>
    <row r="36" ht="15.75" customHeight="1" s="78">
      <c r="A36" s="29" t="inlineStr">
        <is>
          <t>2.2.6</t>
        </is>
      </c>
      <c r="B36" s="25" t="inlineStr">
        <is>
          <t>Timeouts (warn of data loss)</t>
        </is>
      </c>
      <c r="C36" s="50" t="inlineStr">
        <is>
          <t>AAA</t>
        </is>
      </c>
      <c r="D36" s="29" t="inlineStr">
        <is>
          <t>Operable</t>
        </is>
      </c>
      <c r="E36" s="42" t="n">
        <v>1</v>
      </c>
      <c r="F36" s="50" t="inlineStr">
        <is>
          <t>Not Tested</t>
        </is>
      </c>
      <c r="G36" s="29">
        <f>IF(F36="Pass",1,IF(F36="Partial",0.5,IF(F36="Fail",0,0)))</f>
        <v/>
      </c>
      <c r="H36" s="45" t="inlineStr">
        <is>
          <t>Requires manual test: is the user warned before a timed-out session discards an in-progress transaction?</t>
        </is>
      </c>
      <c r="I36" s="42" t="inlineStr">
        <is>
          <t>-</t>
        </is>
      </c>
      <c r="J36" s="29">
        <f>E36*G36</f>
        <v/>
      </c>
      <c r="K36" s="46" t="inlineStr">
        <is>
          <t>Applies as written.</t>
        </is>
      </c>
      <c r="L36" s="29">
        <f>IF(OR(F36="Pass",F36="Partial",F36="Fail"),1,0)</f>
        <v/>
      </c>
      <c r="M36" s="57" t="inlineStr">
        <is>
          <t>No fix to prescribe yet - conduct the manual test first to confirm actual status.</t>
        </is>
      </c>
    </row>
    <row r="37" ht="15.75" customHeight="1" s="78">
      <c r="A37" s="15" t="inlineStr">
        <is>
          <t>2.5.5</t>
        </is>
      </c>
      <c r="B37" s="11" t="inlineStr">
        <is>
          <t>Target Size (Enhanced, 44x44px)</t>
        </is>
      </c>
      <c r="C37" s="50" t="inlineStr">
        <is>
          <t>AAA</t>
        </is>
      </c>
      <c r="D37" s="15" t="inlineStr">
        <is>
          <t>Operable</t>
        </is>
      </c>
      <c r="E37" s="23" t="n">
        <v>1</v>
      </c>
      <c r="F37" s="26" t="inlineStr">
        <is>
          <t>Fail</t>
        </is>
      </c>
      <c r="G37" s="15">
        <f>IF(F37="Pass",1,IF(F37="Partial",0.5,IF(F37="Fail",0,0)))</f>
        <v/>
      </c>
      <c r="H37" s="34" t="inlineStr">
        <is>
          <t>All 99 flagged targets are below 44dp.</t>
        </is>
      </c>
      <c r="I37" s="23" t="n">
        <v>99</v>
      </c>
      <c r="J37" s="15">
        <f>E37*G37</f>
        <v/>
      </c>
      <c r="K37" s="39" t="inlineStr">
        <is>
          <t>Applies as written to native touch targets.</t>
        </is>
      </c>
      <c r="L37" s="15">
        <f>IF(OR(F37="Pass",F37="Partial",F37="Fail"),1,0)</f>
        <v/>
      </c>
      <c r="M37" s="41" t="inlineStr">
        <is>
          <t>Bring the header icons, toggles (46x27dp) and back buttons (29dp tall) to 44-48dp.</t>
        </is>
      </c>
    </row>
    <row r="38" ht="15.75" customHeight="1" s="78">
      <c r="A38" s="29" t="inlineStr">
        <is>
          <t>3.3.6</t>
        </is>
      </c>
      <c r="B38" s="25" t="inlineStr">
        <is>
          <t>Error Prevention (All)</t>
        </is>
      </c>
      <c r="C38" s="50" t="inlineStr">
        <is>
          <t>AAA</t>
        </is>
      </c>
      <c r="D38" s="29" t="inlineStr">
        <is>
          <t>Understandable</t>
        </is>
      </c>
      <c r="E38" s="42" t="n">
        <v>1</v>
      </c>
      <c r="F38" s="50" t="inlineStr">
        <is>
          <t>Not Tested</t>
        </is>
      </c>
      <c r="G38" s="29">
        <f>IF(F38="Pass",1,IF(F38="Partial",0.5,IF(F38="Fail",0,0)))</f>
        <v/>
      </c>
      <c r="H38" s="45" t="inlineStr">
        <is>
          <t>Requires manual review across all transactional flows.</t>
        </is>
      </c>
      <c r="I38" s="42" t="inlineStr">
        <is>
          <t>-</t>
        </is>
      </c>
      <c r="J38" s="29">
        <f>E38*G38</f>
        <v/>
      </c>
      <c r="K38" s="46" t="inlineStr">
        <is>
          <t>Applies as written.</t>
        </is>
      </c>
      <c r="L38" s="29">
        <f>IF(OR(F38="Pass",F38="Partial",F38="Fail"),1,0)</f>
        <v/>
      </c>
      <c r="M38" s="57" t="inlineStr">
        <is>
          <t>No fix to prescribe yet - conduct the manual test first to confirm actual status.</t>
        </is>
      </c>
    </row>
    <row r="39" ht="15.75" customHeight="1" s="78">
      <c r="A39" s="15" t="inlineStr">
        <is>
          <t>3.3.8</t>
        </is>
      </c>
      <c r="B39" s="11" t="inlineStr">
        <is>
          <t>Accessible Authentication (Enhanced)</t>
        </is>
      </c>
      <c r="C39" s="50" t="inlineStr">
        <is>
          <t>AAA</t>
        </is>
      </c>
      <c r="D39" s="15" t="inlineStr">
        <is>
          <t>Understandable</t>
        </is>
      </c>
      <c r="E39" s="23" t="n">
        <v>1</v>
      </c>
      <c r="F39" s="26" t="inlineStr">
        <is>
          <t>Pass</t>
        </is>
      </c>
      <c r="G39" s="15">
        <f>IF(F39="Pass",1,IF(F39="Partial",0.5,IF(F39="Fail",0,0)))</f>
        <v/>
      </c>
      <c r="H39" s="34" t="inlineStr">
        <is>
          <t>Biometric login is available (S2-17).</t>
        </is>
      </c>
      <c r="I39" s="23" t="inlineStr">
        <is>
          <t>-</t>
        </is>
      </c>
      <c r="J39" s="15">
        <f>E39*G39</f>
        <v/>
      </c>
      <c r="K39" s="39" t="inlineStr">
        <is>
          <t>Applies as written; added in WCAG 2.2.</t>
        </is>
      </c>
      <c r="L39" s="15">
        <f>IF(OR(F39="Pass",F39="Partial",F39="Fail"),1,0)</f>
        <v/>
      </c>
      <c r="M39" s="41" t="inlineStr">
        <is>
          <t>No action needed on current evidence.</t>
        </is>
      </c>
    </row>
    <row r="40" ht="15.75" customHeight="1" s="78"/>
    <row r="41" ht="15.75" customHeight="1" s="78">
      <c r="A41" s="91" t="inlineStr">
        <is>
          <t>SCORE SUMMARY</t>
        </is>
      </c>
      <c r="B41" s="92" t="n"/>
      <c r="C41" s="92" t="n"/>
      <c r="D41" s="92" t="n"/>
      <c r="E41" s="92" t="n"/>
      <c r="F41" s="93" t="n"/>
    </row>
    <row r="42" ht="15.75" customHeight="1" s="78">
      <c r="A42" s="94" t="inlineStr">
        <is>
          <t>Weighted score achieved (sum)</t>
        </is>
      </c>
      <c r="B42" s="92" t="n"/>
      <c r="C42" s="92" t="n"/>
      <c r="D42" s="93" t="n"/>
      <c r="E42" s="29">
        <f>SUM(J5:J39)</f>
        <v/>
      </c>
      <c r="F42" s="93" t="n"/>
    </row>
    <row r="43" ht="15.75" customHeight="1" s="78">
      <c r="A43" s="94" t="inlineStr">
        <is>
          <t>Weighted score possible (tested criteria only)</t>
        </is>
      </c>
      <c r="B43" s="92" t="n"/>
      <c r="C43" s="92" t="n"/>
      <c r="D43" s="93" t="n"/>
      <c r="E43" s="29">
        <f>SUMPRODUCT(L5:L39*E5:E39)</f>
        <v/>
      </c>
      <c r="F43" s="93" t="n"/>
    </row>
    <row r="44" ht="15.75" customHeight="1" s="78">
      <c r="A44" s="95" t="inlineStr">
        <is>
          <t>OVERALL ACCESSIBILITY SCORE (0-100)</t>
        </is>
      </c>
      <c r="B44" s="92" t="n"/>
      <c r="C44" s="92" t="n"/>
      <c r="D44" s="93" t="n"/>
      <c r="E44" s="96">
        <f>IFERROR(E42/E43*100,0)</f>
        <v/>
      </c>
      <c r="F44" s="93" t="n"/>
    </row>
    <row r="45" ht="15.75" customHeight="1" s="78">
      <c r="A45" s="94" t="inlineStr">
        <is>
          <t>Level A conformance %</t>
        </is>
      </c>
      <c r="B45" s="92" t="n"/>
      <c r="C45" s="92" t="n"/>
      <c r="D45" s="93" t="n"/>
      <c r="E45" s="97">
        <f>IFERROR(SUMPRODUCT((C5:C39="A")*L5:L39*J5:J39)/SUMPRODUCT((C5:C39="A")*L5:L39*E5:E39)*100,0)</f>
        <v/>
      </c>
      <c r="F45" s="93" t="n"/>
    </row>
    <row r="46" ht="15.75" customHeight="1" s="78">
      <c r="A46" s="94" t="inlineStr">
        <is>
          <t>Level AA conformance % (A+AA criteria)</t>
        </is>
      </c>
      <c r="B46" s="92" t="n"/>
      <c r="C46" s="92" t="n"/>
      <c r="D46" s="93" t="n"/>
      <c r="E46" s="97">
        <f>IFERROR(SUMPRODUCT(((C5:C39="A")+(C5:C39="AA"))*L5:L39*J5:J39)/SUMPRODUCT(((C5:C39="A")+(C5:C39="AA"))*L5:L39*E5:E39)*100,0)</f>
        <v/>
      </c>
      <c r="F46" s="93" t="n"/>
    </row>
    <row r="47" ht="15.75" customHeight="1" s="78">
      <c r="A47" s="94" t="inlineStr">
        <is>
          <t>Criteria rated Fail (count)</t>
        </is>
      </c>
      <c r="B47" s="92" t="n"/>
      <c r="C47" s="92" t="n"/>
      <c r="D47" s="93" t="n"/>
      <c r="E47" s="29">
        <f>COUNTIF(F5:F39,"Fail")</f>
        <v/>
      </c>
      <c r="F47" s="93" t="n"/>
    </row>
    <row r="48" ht="15.75" customHeight="1" s="78">
      <c r="A48" s="94" t="inlineStr">
        <is>
          <t>Criteria rated Not Tested / N/A (count, need manual audit)</t>
        </is>
      </c>
      <c r="B48" s="92" t="n"/>
      <c r="C48" s="92" t="n"/>
      <c r="D48" s="93" t="n"/>
      <c r="E48" s="29">
        <f>COUNTIF(F5:F39,"Not Tested")+COUNTIF(F5:F39,"N/A")</f>
        <v/>
      </c>
      <c r="F48" s="93" t="n"/>
    </row>
    <row r="49" ht="15.75" customHeight="1" s="78">
      <c r="A49" s="95" t="inlineStr">
        <is>
          <t>Rating band</t>
        </is>
      </c>
      <c r="B49" s="92" t="n"/>
      <c r="C49" s="92" t="n"/>
      <c r="D49" s="93" t="n"/>
      <c r="E49" s="22">
        <f>IF(E44&gt;=90,"Level AA-aligned",IF(E44&gt;=75,"Substantially accessible",IF(E44&gt;=50,"Partially accessible - significant barriers",IF(E44&gt;=25,"Largely inaccessible","Inaccessible / excludes blind users"))))</f>
        <v/>
      </c>
      <c r="F49" s="93" t="n"/>
    </row>
    <row r="50" ht="15.75" customHeight="1" s="78"/>
    <row r="51" ht="15.75" customHeight="1" s="78"/>
    <row r="52" ht="15.75" customHeight="1" s="78"/>
    <row r="53" ht="15.75" customHeight="1" s="78"/>
    <row r="54" ht="15.75" customHeight="1" s="78"/>
    <row r="55" ht="15.75" customHeight="1" s="78"/>
    <row r="56" ht="15.75" customHeight="1" s="78"/>
    <row r="57" ht="15.75" customHeight="1" s="78"/>
    <row r="58" ht="15.75" customHeight="1" s="78"/>
    <row r="59" ht="15.75" customHeight="1" s="78"/>
    <row r="60" ht="15.75" customHeight="1" s="78"/>
    <row r="61" ht="15.75" customHeight="1" s="78"/>
    <row r="62" ht="15.75" customHeight="1" s="78"/>
    <row r="63" ht="15.75" customHeight="1" s="78"/>
    <row r="64" ht="15.75" customHeight="1" s="78"/>
    <row r="65" ht="15.75" customHeight="1" s="78"/>
    <row r="66" ht="15.75" customHeight="1" s="78"/>
    <row r="67" ht="15.75" customHeight="1" s="78"/>
    <row r="68" ht="15.75" customHeight="1" s="78"/>
    <row r="69" ht="15.75" customHeight="1" s="78"/>
    <row r="70" ht="15.75" customHeight="1" s="78"/>
    <row r="71" ht="15.75" customHeight="1" s="78"/>
    <row r="72" ht="15.75" customHeight="1" s="78"/>
    <row r="73" ht="15.75" customHeight="1" s="78"/>
    <row r="74" ht="15.75" customHeight="1" s="78"/>
    <row r="75" ht="15.75" customHeight="1" s="78"/>
    <row r="76" ht="15.75" customHeight="1" s="78"/>
    <row r="77" ht="15.75" customHeight="1" s="78"/>
    <row r="78" ht="15.75" customHeight="1" s="78"/>
    <row r="79" ht="15.75" customHeight="1" s="78"/>
    <row r="80" ht="15.75" customHeight="1" s="78"/>
    <row r="81" ht="15.75" customHeight="1" s="78"/>
    <row r="82" ht="15.75" customHeight="1" s="78"/>
    <row r="83" ht="15.75" customHeight="1" s="78"/>
    <row r="84" ht="15.75" customHeight="1" s="78"/>
    <row r="85" ht="15.75" customHeight="1" s="78"/>
    <row r="86" ht="15.75" customHeight="1" s="78"/>
    <row r="87" ht="15.75" customHeight="1" s="78"/>
    <row r="88" ht="15.75" customHeight="1" s="78"/>
    <row r="89" ht="15.75" customHeight="1" s="78"/>
    <row r="90" ht="15.75" customHeight="1" s="78"/>
    <row r="91" ht="15.75" customHeight="1" s="78"/>
    <row r="92" ht="15.75" customHeight="1" s="78"/>
    <row r="93" ht="15.75" customHeight="1" s="78"/>
    <row r="94" ht="15.75" customHeight="1" s="78"/>
    <row r="95" ht="15.75" customHeight="1" s="78"/>
    <row r="96" ht="15.75" customHeight="1" s="78"/>
    <row r="97" ht="15.75" customHeight="1" s="78"/>
    <row r="98" ht="15.75" customHeight="1" s="78"/>
    <row r="99" ht="15.75" customHeight="1" s="78"/>
    <row r="100" ht="15.75" customHeight="1" s="78"/>
    <row r="101" ht="15.75" customHeight="1" s="78"/>
    <row r="102" ht="15.75" customHeight="1" s="78"/>
    <row r="103" ht="15.75" customHeight="1" s="78"/>
    <row r="104" ht="15.75" customHeight="1" s="78"/>
    <row r="105" ht="15.75" customHeight="1" s="78"/>
    <row r="106" ht="15.75" customHeight="1" s="78"/>
    <row r="107" ht="15.75" customHeight="1" s="78"/>
    <row r="108" ht="15.75" customHeight="1" s="78"/>
    <row r="109" ht="15.75" customHeight="1" s="78"/>
    <row r="110" ht="15.75" customHeight="1" s="78"/>
    <row r="111" ht="15.75" customHeight="1" s="78"/>
    <row r="112" ht="15.75" customHeight="1" s="78"/>
    <row r="113" ht="15.75" customHeight="1" s="78"/>
    <row r="114" ht="15.75" customHeight="1" s="78"/>
    <row r="115" ht="15.75" customHeight="1" s="78"/>
    <row r="116" ht="15.75" customHeight="1" s="78"/>
    <row r="117" ht="15.75" customHeight="1" s="78"/>
    <row r="118" ht="15.75" customHeight="1" s="78"/>
    <row r="119" ht="15.75" customHeight="1" s="78"/>
    <row r="120" ht="15.75" customHeight="1" s="78"/>
    <row r="121" ht="15.75" customHeight="1" s="78"/>
    <row r="122" ht="15.75" customHeight="1" s="78"/>
    <row r="123" ht="15.75" customHeight="1" s="78"/>
    <row r="124" ht="15.75" customHeight="1" s="78"/>
    <row r="125" ht="15.75" customHeight="1" s="78"/>
    <row r="126" ht="15.75" customHeight="1" s="78"/>
    <row r="127" ht="15.75" customHeight="1" s="78"/>
    <row r="128" ht="15.75" customHeight="1" s="78"/>
    <row r="129" ht="15.75" customHeight="1" s="78"/>
    <row r="130" ht="15.75" customHeight="1" s="78"/>
    <row r="131" ht="15.75" customHeight="1" s="78"/>
    <row r="132" ht="15.75" customHeight="1" s="78"/>
    <row r="133" ht="15.75" customHeight="1" s="78"/>
    <row r="134" ht="15.75" customHeight="1" s="78"/>
    <row r="135" ht="15.75" customHeight="1" s="78"/>
    <row r="136" ht="15.75" customHeight="1" s="78"/>
    <row r="137" ht="15.75" customHeight="1" s="78"/>
    <row r="138" ht="15.75" customHeight="1" s="78"/>
    <row r="139" ht="15.75" customHeight="1" s="78"/>
    <row r="140" ht="15.75" customHeight="1" s="78"/>
    <row r="141" ht="15.75" customHeight="1" s="78"/>
    <row r="142" ht="15.75" customHeight="1" s="78"/>
    <row r="143" ht="15.75" customHeight="1" s="78"/>
    <row r="144" ht="15.75" customHeight="1" s="78"/>
    <row r="145" ht="15.75" customHeight="1" s="78"/>
    <row r="146" ht="15.75" customHeight="1" s="78"/>
    <row r="147" ht="15.75" customHeight="1" s="78"/>
    <row r="148" ht="15.75" customHeight="1" s="78"/>
    <row r="149" ht="15.75" customHeight="1" s="78"/>
    <row r="150" ht="15.75" customHeight="1" s="78"/>
    <row r="151" ht="15.75" customHeight="1" s="78"/>
    <row r="152" ht="15.75" customHeight="1" s="78"/>
    <row r="153" ht="15.75" customHeight="1" s="78"/>
    <row r="154" ht="15.75" customHeight="1" s="78"/>
    <row r="155" ht="15.75" customHeight="1" s="78"/>
    <row r="156" ht="15.75" customHeight="1" s="78"/>
    <row r="157" ht="15.75" customHeight="1" s="78"/>
    <row r="158" ht="15.75" customHeight="1" s="78"/>
    <row r="159" ht="15.75" customHeight="1" s="78"/>
    <row r="160" ht="15.75" customHeight="1" s="78"/>
    <row r="161" ht="15.75" customHeight="1" s="78"/>
    <row r="162" ht="15.75" customHeight="1" s="78"/>
    <row r="163" ht="15.75" customHeight="1" s="78"/>
    <row r="164" ht="15.75" customHeight="1" s="78"/>
    <row r="165" ht="15.75" customHeight="1" s="78"/>
    <row r="166" ht="15.75" customHeight="1" s="78"/>
    <row r="167" ht="15.75" customHeight="1" s="78"/>
    <row r="168" ht="15.75" customHeight="1" s="78"/>
    <row r="169" ht="15.75" customHeight="1" s="78"/>
    <row r="170" ht="15.75" customHeight="1" s="78"/>
    <row r="171" ht="15.75" customHeight="1" s="78"/>
    <row r="172" ht="15.75" customHeight="1" s="78"/>
    <row r="173" ht="15.75" customHeight="1" s="78"/>
    <row r="174" ht="15.75" customHeight="1" s="78"/>
    <row r="175" ht="15.75" customHeight="1" s="78"/>
    <row r="176" ht="15.75" customHeight="1" s="78"/>
    <row r="177" ht="15.75" customHeight="1" s="78"/>
    <row r="178" ht="15.75" customHeight="1" s="78"/>
    <row r="179" ht="15.75" customHeight="1" s="78"/>
    <row r="180" ht="15.75" customHeight="1" s="78"/>
    <row r="181" ht="15.75" customHeight="1" s="78"/>
    <row r="182" ht="15.75" customHeight="1" s="78"/>
    <row r="183" ht="15.75" customHeight="1" s="78"/>
    <row r="184" ht="15.75" customHeight="1" s="78"/>
    <row r="185" ht="15.75" customHeight="1" s="78"/>
    <row r="186" ht="15.75" customHeight="1" s="78"/>
    <row r="187" ht="15.75" customHeight="1" s="78"/>
    <row r="188" ht="15.75" customHeight="1" s="78"/>
    <row r="189" ht="15.75" customHeight="1" s="78"/>
    <row r="190" ht="15.75" customHeight="1" s="78"/>
    <row r="191" ht="15.75" customHeight="1" s="78"/>
    <row r="192" ht="15.75" customHeight="1" s="78"/>
    <row r="193" ht="15.75" customHeight="1" s="78"/>
    <row r="194" ht="15.75" customHeight="1" s="78"/>
    <row r="195" ht="15.75" customHeight="1" s="78"/>
    <row r="196" ht="15.75" customHeight="1" s="78"/>
    <row r="197" ht="15.75" customHeight="1" s="78"/>
    <row r="198" ht="15.75" customHeight="1" s="78"/>
    <row r="199" ht="15.75" customHeight="1" s="78"/>
    <row r="200" ht="15.75" customHeight="1" s="78"/>
    <row r="201" ht="15.75" customHeight="1" s="78"/>
    <row r="202" ht="15.75" customHeight="1" s="78"/>
    <row r="203" ht="15.75" customHeight="1" s="78"/>
    <row r="204" ht="15.75" customHeight="1" s="78"/>
    <row r="205" ht="15.75" customHeight="1" s="78"/>
    <row r="206" ht="15.75" customHeight="1" s="78"/>
    <row r="207" ht="15.75" customHeight="1" s="78"/>
    <row r="208" ht="15.75" customHeight="1" s="78"/>
    <row r="209" ht="15.75" customHeight="1" s="78"/>
    <row r="210" ht="15.75" customHeight="1" s="78"/>
    <row r="211" ht="15.75" customHeight="1" s="78"/>
    <row r="212" ht="15.75" customHeight="1" s="78"/>
    <row r="213" ht="15.75" customHeight="1" s="78"/>
    <row r="214" ht="15.75" customHeight="1" s="78"/>
    <row r="215" ht="15.75" customHeight="1" s="78"/>
    <row r="216" ht="15.75" customHeight="1" s="78"/>
    <row r="217" ht="15.75" customHeight="1" s="78"/>
    <row r="218" ht="15.75" customHeight="1" s="78"/>
    <row r="219" ht="15.75" customHeight="1" s="78"/>
    <row r="220" ht="15.75" customHeight="1" s="78"/>
    <row r="221" ht="15.75" customHeight="1" s="78"/>
    <row r="222" ht="15.75" customHeight="1" s="78"/>
    <row r="223" ht="15.75" customHeight="1" s="78"/>
    <row r="224" ht="15.75" customHeight="1" s="78"/>
    <row r="225" ht="15.75" customHeight="1" s="78"/>
    <row r="226" ht="15.75" customHeight="1" s="78"/>
    <row r="227" ht="15.75" customHeight="1" s="78"/>
    <row r="228" ht="15.75" customHeight="1" s="78"/>
    <row r="229" ht="15.75" customHeight="1" s="78"/>
    <row r="230" ht="15.75" customHeight="1" s="78"/>
    <row r="231" ht="15.75" customHeight="1" s="78"/>
    <row r="232" ht="15.75" customHeight="1" s="78"/>
    <row r="233" ht="15.75" customHeight="1" s="78"/>
    <row r="234" ht="15.75" customHeight="1" s="78"/>
    <row r="235" ht="15.75" customHeight="1" s="78"/>
    <row r="236" ht="15.75" customHeight="1" s="78"/>
    <row r="237" ht="15.75" customHeight="1" s="78"/>
    <row r="238" ht="15.75" customHeight="1" s="78"/>
    <row r="239" ht="15.75" customHeight="1" s="78"/>
    <row r="240" ht="15.75" customHeight="1" s="78"/>
    <row r="241" ht="15.75" customHeight="1" s="78"/>
    <row r="242" ht="15.75" customHeight="1" s="78"/>
    <row r="243" ht="15.75" customHeight="1" s="78"/>
    <row r="244" ht="15.75" customHeight="1" s="78"/>
    <row r="245" ht="15.75" customHeight="1" s="78"/>
    <row r="246" ht="15.75" customHeight="1" s="78"/>
    <row r="247" ht="15.75" customHeight="1" s="78"/>
    <row r="248" ht="15.75" customHeight="1" s="78"/>
    <row r="249" ht="15.75" customHeight="1" s="78"/>
    <row r="250" ht="15.75" customHeight="1" s="78"/>
    <row r="251" ht="15.75" customHeight="1" s="78"/>
    <row r="252" ht="15.75" customHeight="1" s="78"/>
    <row r="253" ht="15.75" customHeight="1" s="78"/>
    <row r="254" ht="15.75" customHeight="1" s="78"/>
    <row r="255" ht="15.75" customHeight="1" s="78"/>
    <row r="256" ht="15.75" customHeight="1" s="78"/>
    <row r="257" ht="15.75" customHeight="1" s="78"/>
    <row r="258" ht="15.75" customHeight="1" s="78"/>
    <row r="259" ht="15.75" customHeight="1" s="78"/>
    <row r="260" ht="15.75" customHeight="1" s="78"/>
    <row r="261" ht="15.75" customHeight="1" s="78"/>
    <row r="262" ht="15.75" customHeight="1" s="78"/>
    <row r="263" ht="15.75" customHeight="1" s="78"/>
    <row r="264" ht="15.75" customHeight="1" s="78"/>
    <row r="265" ht="15.75" customHeight="1" s="78"/>
    <row r="266" ht="15.75" customHeight="1" s="78"/>
    <row r="267" ht="15.75" customHeight="1" s="78"/>
    <row r="268" ht="15.75" customHeight="1" s="78"/>
    <row r="269" ht="15.75" customHeight="1" s="78"/>
    <row r="270" ht="15.75" customHeight="1" s="78"/>
    <row r="271" ht="15.75" customHeight="1" s="78"/>
    <row r="272" ht="15.75" customHeight="1" s="78"/>
    <row r="273" ht="15.75" customHeight="1" s="78"/>
    <row r="274" ht="15.75" customHeight="1" s="78"/>
    <row r="275" ht="15.75" customHeight="1" s="78"/>
    <row r="276" ht="15.75" customHeight="1" s="78"/>
    <row r="277" ht="15.75" customHeight="1" s="78"/>
    <row r="278" ht="15.75" customHeight="1" s="78"/>
    <row r="279" ht="15.75" customHeight="1" s="78"/>
    <row r="280" ht="15.75" customHeight="1" s="78"/>
    <row r="281" ht="15.75" customHeight="1" s="78"/>
    <row r="282" ht="15.75" customHeight="1" s="78"/>
    <row r="283" ht="15.75" customHeight="1" s="78"/>
    <row r="284" ht="15.75" customHeight="1" s="78"/>
    <row r="285" ht="15.75" customHeight="1" s="78"/>
    <row r="286" ht="15.75" customHeight="1" s="78"/>
    <row r="287" ht="15.75" customHeight="1" s="78"/>
    <row r="288" ht="15.75" customHeight="1" s="78"/>
    <row r="289" ht="15.75" customHeight="1" s="78"/>
    <row r="290" ht="15.75" customHeight="1" s="78"/>
    <row r="291" ht="15.75" customHeight="1" s="78"/>
    <row r="292" ht="15.75" customHeight="1" s="78"/>
    <row r="293" ht="15.75" customHeight="1" s="78"/>
    <row r="294" ht="15.75" customHeight="1" s="78"/>
    <row r="295" ht="15.75" customHeight="1" s="78"/>
    <row r="296" ht="15.75" customHeight="1" s="78"/>
    <row r="297" ht="15.75" customHeight="1" s="78"/>
    <row r="298" ht="15.75" customHeight="1" s="78"/>
    <row r="299" ht="15.75" customHeight="1" s="78"/>
    <row r="300" ht="15.75" customHeight="1" s="78"/>
    <row r="301" ht="15.75" customHeight="1" s="78"/>
    <row r="302" ht="15.75" customHeight="1" s="78"/>
    <row r="303" ht="15.75" customHeight="1" s="78"/>
    <row r="304" ht="15.75" customHeight="1" s="78"/>
    <row r="305" ht="15.75" customHeight="1" s="78"/>
    <row r="306" ht="15.75" customHeight="1" s="78"/>
    <row r="307" ht="15.75" customHeight="1" s="78"/>
    <row r="308" ht="15.75" customHeight="1" s="78"/>
    <row r="309" ht="15.75" customHeight="1" s="78"/>
    <row r="310" ht="15.75" customHeight="1" s="78"/>
    <row r="311" ht="15.75" customHeight="1" s="78"/>
    <row r="312" ht="15.75" customHeight="1" s="78"/>
    <row r="313" ht="15.75" customHeight="1" s="78"/>
    <row r="314" ht="15.75" customHeight="1" s="78"/>
    <row r="315" ht="15.75" customHeight="1" s="78"/>
    <row r="316" ht="15.75" customHeight="1" s="78"/>
    <row r="317" ht="15.75" customHeight="1" s="78"/>
    <row r="318" ht="15.75" customHeight="1" s="78"/>
    <row r="319" ht="15.75" customHeight="1" s="78"/>
    <row r="320" ht="15.75" customHeight="1" s="78"/>
    <row r="321" ht="15.75" customHeight="1" s="78"/>
    <row r="322" ht="15.75" customHeight="1" s="78"/>
    <row r="323" ht="15.75" customHeight="1" s="78"/>
    <row r="324" ht="15.75" customHeight="1" s="78"/>
    <row r="325" ht="15.75" customHeight="1" s="78"/>
    <row r="326" ht="15.75" customHeight="1" s="78"/>
    <row r="327" ht="15.75" customHeight="1" s="78"/>
    <row r="328" ht="15.75" customHeight="1" s="78"/>
    <row r="329" ht="15.75" customHeight="1" s="78"/>
    <row r="330" ht="15.75" customHeight="1" s="78"/>
    <row r="331" ht="15.75" customHeight="1" s="78"/>
    <row r="332" ht="15.75" customHeight="1" s="78"/>
    <row r="333" ht="15.75" customHeight="1" s="78"/>
    <row r="334" ht="15.75" customHeight="1" s="78"/>
    <row r="335" ht="15.75" customHeight="1" s="78"/>
    <row r="336" ht="15.75" customHeight="1" s="78"/>
    <row r="337" ht="15.75" customHeight="1" s="78"/>
    <row r="338" ht="15.75" customHeight="1" s="78"/>
    <row r="339" ht="15.75" customHeight="1" s="78"/>
    <row r="340" ht="15.75" customHeight="1" s="78"/>
    <row r="341" ht="15.75" customHeight="1" s="78"/>
    <row r="342" ht="15.75" customHeight="1" s="78"/>
    <row r="343" ht="15.75" customHeight="1" s="78"/>
    <row r="344" ht="15.75" customHeight="1" s="78"/>
    <row r="345" ht="15.75" customHeight="1" s="78"/>
    <row r="346" ht="15.75" customHeight="1" s="78"/>
    <row r="347" ht="15.75" customHeight="1" s="78"/>
    <row r="348" ht="15.75" customHeight="1" s="78"/>
    <row r="349" ht="15.75" customHeight="1" s="78"/>
    <row r="350" ht="15.75" customHeight="1" s="78"/>
    <row r="351" ht="15.75" customHeight="1" s="78"/>
    <row r="352" ht="15.75" customHeight="1" s="78"/>
    <row r="353" ht="15.75" customHeight="1" s="78"/>
    <row r="354" ht="15.75" customHeight="1" s="78"/>
    <row r="355" ht="15.75" customHeight="1" s="78"/>
    <row r="356" ht="15.75" customHeight="1" s="78"/>
    <row r="357" ht="15.75" customHeight="1" s="78"/>
    <row r="358" ht="15.75" customHeight="1" s="78"/>
    <row r="359" ht="15.75" customHeight="1" s="78"/>
    <row r="360" ht="15.75" customHeight="1" s="78"/>
    <row r="361" ht="15.75" customHeight="1" s="78"/>
    <row r="362" ht="15.75" customHeight="1" s="78"/>
    <row r="363" ht="15.75" customHeight="1" s="78"/>
    <row r="364" ht="15.75" customHeight="1" s="78"/>
    <row r="365" ht="15.75" customHeight="1" s="78"/>
    <row r="366" ht="15.75" customHeight="1" s="78"/>
    <row r="367" ht="15.75" customHeight="1" s="78"/>
    <row r="368" ht="15.75" customHeight="1" s="78"/>
    <row r="369" ht="15.75" customHeight="1" s="78"/>
    <row r="370" ht="15.75" customHeight="1" s="78"/>
    <row r="371" ht="15.75" customHeight="1" s="78"/>
    <row r="372" ht="15.75" customHeight="1" s="78"/>
    <row r="373" ht="15.75" customHeight="1" s="78"/>
    <row r="374" ht="15.75" customHeight="1" s="78"/>
    <row r="375" ht="15.75" customHeight="1" s="78"/>
    <row r="376" ht="15.75" customHeight="1" s="78"/>
    <row r="377" ht="15.75" customHeight="1" s="78"/>
    <row r="378" ht="15.75" customHeight="1" s="78"/>
    <row r="379" ht="15.75" customHeight="1" s="78"/>
    <row r="380" ht="15.75" customHeight="1" s="78"/>
    <row r="381" ht="15.75" customHeight="1" s="78"/>
    <row r="382" ht="15.75" customHeight="1" s="78"/>
    <row r="383" ht="15.75" customHeight="1" s="78"/>
    <row r="384" ht="15.75" customHeight="1" s="78"/>
    <row r="385" ht="15.75" customHeight="1" s="78"/>
    <row r="386" ht="15.75" customHeight="1" s="78"/>
    <row r="387" ht="15.75" customHeight="1" s="78"/>
    <row r="388" ht="15.75" customHeight="1" s="78"/>
    <row r="389" ht="15.75" customHeight="1" s="78"/>
    <row r="390" ht="15.75" customHeight="1" s="78"/>
    <row r="391" ht="15.75" customHeight="1" s="78"/>
    <row r="392" ht="15.75" customHeight="1" s="78"/>
    <row r="393" ht="15.75" customHeight="1" s="78"/>
    <row r="394" ht="15.75" customHeight="1" s="78"/>
    <row r="395" ht="15.75" customHeight="1" s="78"/>
    <row r="396" ht="15.75" customHeight="1" s="78"/>
    <row r="397" ht="15.75" customHeight="1" s="78"/>
    <row r="398" ht="15.75" customHeight="1" s="78"/>
    <row r="399" ht="15.75" customHeight="1" s="78"/>
    <row r="400" ht="15.75" customHeight="1" s="78"/>
    <row r="401" ht="15.75" customHeight="1" s="78"/>
    <row r="402" ht="15.75" customHeight="1" s="78"/>
    <row r="403" ht="15.75" customHeight="1" s="78"/>
    <row r="404" ht="15.75" customHeight="1" s="78"/>
    <row r="405" ht="15.75" customHeight="1" s="78"/>
    <row r="406" ht="15.75" customHeight="1" s="78"/>
    <row r="407" ht="15.75" customHeight="1" s="78"/>
    <row r="408" ht="15.75" customHeight="1" s="78"/>
    <row r="409" ht="15.75" customHeight="1" s="78"/>
    <row r="410" ht="15.75" customHeight="1" s="78"/>
    <row r="411" ht="15.75" customHeight="1" s="78"/>
    <row r="412" ht="15.75" customHeight="1" s="78"/>
    <row r="413" ht="15.75" customHeight="1" s="78"/>
    <row r="414" ht="15.75" customHeight="1" s="78"/>
    <row r="415" ht="15.75" customHeight="1" s="78"/>
    <row r="416" ht="15.75" customHeight="1" s="78"/>
    <row r="417" ht="15.75" customHeight="1" s="78"/>
    <row r="418" ht="15.75" customHeight="1" s="78"/>
    <row r="419" ht="15.75" customHeight="1" s="78"/>
    <row r="420" ht="15.75" customHeight="1" s="78"/>
    <row r="421" ht="15.75" customHeight="1" s="78"/>
    <row r="422" ht="15.75" customHeight="1" s="78"/>
    <row r="423" ht="15.75" customHeight="1" s="78"/>
    <row r="424" ht="15.75" customHeight="1" s="78"/>
    <row r="425" ht="15.75" customHeight="1" s="78"/>
    <row r="426" ht="15.75" customHeight="1" s="78"/>
    <row r="427" ht="15.75" customHeight="1" s="78"/>
    <row r="428" ht="15.75" customHeight="1" s="78"/>
    <row r="429" ht="15.75" customHeight="1" s="78"/>
    <row r="430" ht="15.75" customHeight="1" s="78"/>
    <row r="431" ht="15.75" customHeight="1" s="78"/>
    <row r="432" ht="15.75" customHeight="1" s="78"/>
    <row r="433" ht="15.75" customHeight="1" s="78"/>
    <row r="434" ht="15.75" customHeight="1" s="78"/>
    <row r="435" ht="15.75" customHeight="1" s="78"/>
    <row r="436" ht="15.75" customHeight="1" s="78"/>
    <row r="437" ht="15.75" customHeight="1" s="78"/>
    <row r="438" ht="15.75" customHeight="1" s="78"/>
    <row r="439" ht="15.75" customHeight="1" s="78"/>
    <row r="440" ht="15.75" customHeight="1" s="78"/>
    <row r="441" ht="15.75" customHeight="1" s="78"/>
    <row r="442" ht="15.75" customHeight="1" s="78"/>
    <row r="443" ht="15.75" customHeight="1" s="78"/>
    <row r="444" ht="15.75" customHeight="1" s="78"/>
    <row r="445" ht="15.75" customHeight="1" s="78"/>
    <row r="446" ht="15.75" customHeight="1" s="78"/>
    <row r="447" ht="15.75" customHeight="1" s="78"/>
    <row r="448" ht="15.75" customHeight="1" s="78"/>
    <row r="449" ht="15.75" customHeight="1" s="78"/>
    <row r="450" ht="15.75" customHeight="1" s="78"/>
    <row r="451" ht="15.75" customHeight="1" s="78"/>
    <row r="452" ht="15.75" customHeight="1" s="78"/>
    <row r="453" ht="15.75" customHeight="1" s="78"/>
    <row r="454" ht="15.75" customHeight="1" s="78"/>
    <row r="455" ht="15.75" customHeight="1" s="78"/>
    <row r="456" ht="15.75" customHeight="1" s="78"/>
    <row r="457" ht="15.75" customHeight="1" s="78"/>
    <row r="458" ht="15.75" customHeight="1" s="78"/>
    <row r="459" ht="15.75" customHeight="1" s="78"/>
    <row r="460" ht="15.75" customHeight="1" s="78"/>
    <row r="461" ht="15.75" customHeight="1" s="78"/>
    <row r="462" ht="15.75" customHeight="1" s="78"/>
    <row r="463" ht="15.75" customHeight="1" s="78"/>
    <row r="464" ht="15.75" customHeight="1" s="78"/>
    <row r="465" ht="15.75" customHeight="1" s="78"/>
    <row r="466" ht="15.75" customHeight="1" s="78"/>
    <row r="467" ht="15.75" customHeight="1" s="78"/>
    <row r="468" ht="15.75" customHeight="1" s="78"/>
    <row r="469" ht="15.75" customHeight="1" s="78"/>
    <row r="470" ht="15.75" customHeight="1" s="78"/>
    <row r="471" ht="15.75" customHeight="1" s="78"/>
    <row r="472" ht="15.75" customHeight="1" s="78"/>
    <row r="473" ht="15.75" customHeight="1" s="78"/>
    <row r="474" ht="15.75" customHeight="1" s="78"/>
    <row r="475" ht="15.75" customHeight="1" s="78"/>
    <row r="476" ht="15.75" customHeight="1" s="78"/>
    <row r="477" ht="15.75" customHeight="1" s="78"/>
    <row r="478" ht="15.75" customHeight="1" s="78"/>
    <row r="479" ht="15.75" customHeight="1" s="78"/>
    <row r="480" ht="15.75" customHeight="1" s="78"/>
    <row r="481" ht="15.75" customHeight="1" s="78"/>
    <row r="482" ht="15.75" customHeight="1" s="78"/>
    <row r="483" ht="15.75" customHeight="1" s="78"/>
    <row r="484" ht="15.75" customHeight="1" s="78"/>
    <row r="485" ht="15.75" customHeight="1" s="78"/>
    <row r="486" ht="15.75" customHeight="1" s="78"/>
    <row r="487" ht="15.75" customHeight="1" s="78"/>
    <row r="488" ht="15.75" customHeight="1" s="78"/>
    <row r="489" ht="15.75" customHeight="1" s="78"/>
    <row r="490" ht="15.75" customHeight="1" s="78"/>
    <row r="491" ht="15.75" customHeight="1" s="78"/>
    <row r="492" ht="15.75" customHeight="1" s="78"/>
    <row r="493" ht="15.75" customHeight="1" s="78"/>
    <row r="494" ht="15.75" customHeight="1" s="78"/>
    <row r="495" ht="15.75" customHeight="1" s="78"/>
    <row r="496" ht="15.75" customHeight="1" s="78"/>
    <row r="497" ht="15.75" customHeight="1" s="78"/>
    <row r="498" ht="15.75" customHeight="1" s="78"/>
    <row r="499" ht="15.75" customHeight="1" s="78"/>
    <row r="500" ht="15.75" customHeight="1" s="78"/>
    <row r="501" ht="15.75" customHeight="1" s="78"/>
    <row r="502" ht="15.75" customHeight="1" s="78"/>
    <row r="503" ht="15.75" customHeight="1" s="78"/>
    <row r="504" ht="15.75" customHeight="1" s="78"/>
    <row r="505" ht="15.75" customHeight="1" s="78"/>
    <row r="506" ht="15.75" customHeight="1" s="78"/>
    <row r="507" ht="15.75" customHeight="1" s="78"/>
    <row r="508" ht="15.75" customHeight="1" s="78"/>
    <row r="509" ht="15.75" customHeight="1" s="78"/>
    <row r="510" ht="15.75" customHeight="1" s="78"/>
    <row r="511" ht="15.75" customHeight="1" s="78"/>
    <row r="512" ht="15.75" customHeight="1" s="78"/>
    <row r="513" ht="15.75" customHeight="1" s="78"/>
    <row r="514" ht="15.75" customHeight="1" s="78"/>
    <row r="515" ht="15.75" customHeight="1" s="78"/>
    <row r="516" ht="15.75" customHeight="1" s="78"/>
    <row r="517" ht="15.75" customHeight="1" s="78"/>
    <row r="518" ht="15.75" customHeight="1" s="78"/>
    <row r="519" ht="15.75" customHeight="1" s="78"/>
    <row r="520" ht="15.75" customHeight="1" s="78"/>
    <row r="521" ht="15.75" customHeight="1" s="78"/>
    <row r="522" ht="15.75" customHeight="1" s="78"/>
    <row r="523" ht="15.75" customHeight="1" s="78"/>
    <row r="524" ht="15.75" customHeight="1" s="78"/>
    <row r="525" ht="15.75" customHeight="1" s="78"/>
    <row r="526" ht="15.75" customHeight="1" s="78"/>
    <row r="527" ht="15.75" customHeight="1" s="78"/>
    <row r="528" ht="15.75" customHeight="1" s="78"/>
    <row r="529" ht="15.75" customHeight="1" s="78"/>
    <row r="530" ht="15.75" customHeight="1" s="78"/>
    <row r="531" ht="15.75" customHeight="1" s="78"/>
    <row r="532" ht="15.75" customHeight="1" s="78"/>
    <row r="533" ht="15.75" customHeight="1" s="78"/>
    <row r="534" ht="15.75" customHeight="1" s="78"/>
    <row r="535" ht="15.75" customHeight="1" s="78"/>
    <row r="536" ht="15.75" customHeight="1" s="78"/>
    <row r="537" ht="15.75" customHeight="1" s="78"/>
    <row r="538" ht="15.75" customHeight="1" s="78"/>
    <row r="539" ht="15.75" customHeight="1" s="78"/>
    <row r="540" ht="15.75" customHeight="1" s="78"/>
    <row r="541" ht="15.75" customHeight="1" s="78"/>
    <row r="542" ht="15.75" customHeight="1" s="78"/>
    <row r="543" ht="15.75" customHeight="1" s="78"/>
    <row r="544" ht="15.75" customHeight="1" s="78"/>
    <row r="545" ht="15.75" customHeight="1" s="78"/>
    <row r="546" ht="15.75" customHeight="1" s="78"/>
    <row r="547" ht="15.75" customHeight="1" s="78"/>
    <row r="548" ht="15.75" customHeight="1" s="78"/>
    <row r="549" ht="15.75" customHeight="1" s="78"/>
    <row r="550" ht="15.75" customHeight="1" s="78"/>
    <row r="551" ht="15.75" customHeight="1" s="78"/>
    <row r="552" ht="15.75" customHeight="1" s="78"/>
    <row r="553" ht="15.75" customHeight="1" s="78"/>
    <row r="554" ht="15.75" customHeight="1" s="78"/>
    <row r="555" ht="15.75" customHeight="1" s="78"/>
    <row r="556" ht="15.75" customHeight="1" s="78"/>
    <row r="557" ht="15.75" customHeight="1" s="78"/>
    <row r="558" ht="15.75" customHeight="1" s="78"/>
    <row r="559" ht="15.75" customHeight="1" s="78"/>
    <row r="560" ht="15.75" customHeight="1" s="78"/>
    <row r="561" ht="15.75" customHeight="1" s="78"/>
    <row r="562" ht="15.75" customHeight="1" s="78"/>
    <row r="563" ht="15.75" customHeight="1" s="78"/>
    <row r="564" ht="15.75" customHeight="1" s="78"/>
    <row r="565" ht="15.75" customHeight="1" s="78"/>
    <row r="566" ht="15.75" customHeight="1" s="78"/>
    <row r="567" ht="15.75" customHeight="1" s="78"/>
    <row r="568" ht="15.75" customHeight="1" s="78"/>
    <row r="569" ht="15.75" customHeight="1" s="78"/>
    <row r="570" ht="15.75" customHeight="1" s="78"/>
    <row r="571" ht="15.75" customHeight="1" s="78"/>
    <row r="572" ht="15.75" customHeight="1" s="78"/>
    <row r="573" ht="15.75" customHeight="1" s="78"/>
    <row r="574" ht="15.75" customHeight="1" s="78"/>
    <row r="575" ht="15.75" customHeight="1" s="78"/>
    <row r="576" ht="15.75" customHeight="1" s="78"/>
    <row r="577" ht="15.75" customHeight="1" s="78"/>
    <row r="578" ht="15.75" customHeight="1" s="78"/>
    <row r="579" ht="15.75" customHeight="1" s="78"/>
    <row r="580" ht="15.75" customHeight="1" s="78"/>
    <row r="581" ht="15.75" customHeight="1" s="78"/>
    <row r="582" ht="15.75" customHeight="1" s="78"/>
    <row r="583" ht="15.75" customHeight="1" s="78"/>
    <row r="584" ht="15.75" customHeight="1" s="78"/>
    <row r="585" ht="15.75" customHeight="1" s="78"/>
    <row r="586" ht="15.75" customHeight="1" s="78"/>
    <row r="587" ht="15.75" customHeight="1" s="78"/>
    <row r="588" ht="15.75" customHeight="1" s="78"/>
    <row r="589" ht="15.75" customHeight="1" s="78"/>
    <row r="590" ht="15.75" customHeight="1" s="78"/>
    <row r="591" ht="15.75" customHeight="1" s="78"/>
    <row r="592" ht="15.75" customHeight="1" s="78"/>
    <row r="593" ht="15.75" customHeight="1" s="78"/>
    <row r="594" ht="15.75" customHeight="1" s="78"/>
    <row r="595" ht="15.75" customHeight="1" s="78"/>
    <row r="596" ht="15.75" customHeight="1" s="78"/>
    <row r="597" ht="15.75" customHeight="1" s="78"/>
    <row r="598" ht="15.75" customHeight="1" s="78"/>
    <row r="599" ht="15.75" customHeight="1" s="78"/>
    <row r="600" ht="15.75" customHeight="1" s="78"/>
    <row r="601" ht="15.75" customHeight="1" s="78"/>
    <row r="602" ht="15.75" customHeight="1" s="78"/>
    <row r="603" ht="15.75" customHeight="1" s="78"/>
    <row r="604" ht="15.75" customHeight="1" s="78"/>
    <row r="605" ht="15.75" customHeight="1" s="78"/>
    <row r="606" ht="15.75" customHeight="1" s="78"/>
    <row r="607" ht="15.75" customHeight="1" s="78"/>
    <row r="608" ht="15.75" customHeight="1" s="78"/>
    <row r="609" ht="15.75" customHeight="1" s="78"/>
    <row r="610" ht="15.75" customHeight="1" s="78"/>
    <row r="611" ht="15.75" customHeight="1" s="78"/>
    <row r="612" ht="15.75" customHeight="1" s="78"/>
    <row r="613" ht="15.75" customHeight="1" s="78"/>
    <row r="614" ht="15.75" customHeight="1" s="78"/>
    <row r="615" ht="15.75" customHeight="1" s="78"/>
    <row r="616" ht="15.75" customHeight="1" s="78"/>
    <row r="617" ht="15.75" customHeight="1" s="78"/>
    <row r="618" ht="15.75" customHeight="1" s="78"/>
    <row r="619" ht="15.75" customHeight="1" s="78"/>
    <row r="620" ht="15.75" customHeight="1" s="78"/>
    <row r="621" ht="15.75" customHeight="1" s="78"/>
    <row r="622" ht="15.75" customHeight="1" s="78"/>
    <row r="623" ht="15.75" customHeight="1" s="78"/>
    <row r="624" ht="15.75" customHeight="1" s="78"/>
    <row r="625" ht="15.75" customHeight="1" s="78"/>
    <row r="626" ht="15.75" customHeight="1" s="78"/>
    <row r="627" ht="15.75" customHeight="1" s="78"/>
    <row r="628" ht="15.75" customHeight="1" s="78"/>
    <row r="629" ht="15.75" customHeight="1" s="78"/>
    <row r="630" ht="15.75" customHeight="1" s="78"/>
    <row r="631" ht="15.75" customHeight="1" s="78"/>
    <row r="632" ht="15.75" customHeight="1" s="78"/>
    <row r="633" ht="15.75" customHeight="1" s="78"/>
    <row r="634" ht="15.75" customHeight="1" s="78"/>
    <row r="635" ht="15.75" customHeight="1" s="78"/>
    <row r="636" ht="15.75" customHeight="1" s="78"/>
    <row r="637" ht="15.75" customHeight="1" s="78"/>
    <row r="638" ht="15.75" customHeight="1" s="78"/>
    <row r="639" ht="15.75" customHeight="1" s="78"/>
    <row r="640" ht="15.75" customHeight="1" s="78"/>
    <row r="641" ht="15.75" customHeight="1" s="78"/>
    <row r="642" ht="15.75" customHeight="1" s="78"/>
    <row r="643" ht="15.75" customHeight="1" s="78"/>
    <row r="644" ht="15.75" customHeight="1" s="78"/>
    <row r="645" ht="15.75" customHeight="1" s="78"/>
    <row r="646" ht="15.75" customHeight="1" s="78"/>
    <row r="647" ht="15.75" customHeight="1" s="78"/>
    <row r="648" ht="15.75" customHeight="1" s="78"/>
    <row r="649" ht="15.75" customHeight="1" s="78"/>
    <row r="650" ht="15.75" customHeight="1" s="78"/>
    <row r="651" ht="15.75" customHeight="1" s="78"/>
    <row r="652" ht="15.75" customHeight="1" s="78"/>
    <row r="653" ht="15.75" customHeight="1" s="78"/>
    <row r="654" ht="15.75" customHeight="1" s="78"/>
    <row r="655" ht="15.75" customHeight="1" s="78"/>
    <row r="656" ht="15.75" customHeight="1" s="78"/>
    <row r="657" ht="15.75" customHeight="1" s="78"/>
    <row r="658" ht="15.75" customHeight="1" s="78"/>
    <row r="659" ht="15.75" customHeight="1" s="78"/>
    <row r="660" ht="15.75" customHeight="1" s="78"/>
    <row r="661" ht="15.75" customHeight="1" s="78"/>
    <row r="662" ht="15.75" customHeight="1" s="78"/>
    <row r="663" ht="15.75" customHeight="1" s="78"/>
    <row r="664" ht="15.75" customHeight="1" s="78"/>
    <row r="665" ht="15.75" customHeight="1" s="78"/>
    <row r="666" ht="15.75" customHeight="1" s="78"/>
    <row r="667" ht="15.75" customHeight="1" s="78"/>
    <row r="668" ht="15.75" customHeight="1" s="78"/>
    <row r="669" ht="15.75" customHeight="1" s="78"/>
    <row r="670" ht="15.75" customHeight="1" s="78"/>
    <row r="671" ht="15.75" customHeight="1" s="78"/>
    <row r="672" ht="15.75" customHeight="1" s="78"/>
    <row r="673" ht="15.75" customHeight="1" s="78"/>
    <row r="674" ht="15.75" customHeight="1" s="78"/>
    <row r="675" ht="15.75" customHeight="1" s="78"/>
    <row r="676" ht="15.75" customHeight="1" s="78"/>
    <row r="677" ht="15.75" customHeight="1" s="78"/>
    <row r="678" ht="15.75" customHeight="1" s="78"/>
    <row r="679" ht="15.75" customHeight="1" s="78"/>
    <row r="680" ht="15.75" customHeight="1" s="78"/>
    <row r="681" ht="15.75" customHeight="1" s="78"/>
    <row r="682" ht="15.75" customHeight="1" s="78"/>
    <row r="683" ht="15.75" customHeight="1" s="78"/>
    <row r="684" ht="15.75" customHeight="1" s="78"/>
    <row r="685" ht="15.75" customHeight="1" s="78"/>
    <row r="686" ht="15.75" customHeight="1" s="78"/>
    <row r="687" ht="15.75" customHeight="1" s="78"/>
    <row r="688" ht="15.75" customHeight="1" s="78"/>
    <row r="689" ht="15.75" customHeight="1" s="78"/>
    <row r="690" ht="15.75" customHeight="1" s="78"/>
    <row r="691" ht="15.75" customHeight="1" s="78"/>
    <row r="692" ht="15.75" customHeight="1" s="78"/>
    <row r="693" ht="15.75" customHeight="1" s="78"/>
    <row r="694" ht="15.75" customHeight="1" s="78"/>
    <row r="695" ht="15.75" customHeight="1" s="78"/>
    <row r="696" ht="15.75" customHeight="1" s="78"/>
    <row r="697" ht="15.75" customHeight="1" s="78"/>
    <row r="698" ht="15.75" customHeight="1" s="78"/>
    <row r="699" ht="15.75" customHeight="1" s="78"/>
    <row r="700" ht="15.75" customHeight="1" s="78"/>
    <row r="701" ht="15.75" customHeight="1" s="78"/>
    <row r="702" ht="15.75" customHeight="1" s="78"/>
    <row r="703" ht="15.75" customHeight="1" s="78"/>
    <row r="704" ht="15.75" customHeight="1" s="78"/>
    <row r="705" ht="15.75" customHeight="1" s="78"/>
    <row r="706" ht="15.75" customHeight="1" s="78"/>
    <row r="707" ht="15.75" customHeight="1" s="78"/>
    <row r="708" ht="15.75" customHeight="1" s="78"/>
    <row r="709" ht="15.75" customHeight="1" s="78"/>
    <row r="710" ht="15.75" customHeight="1" s="78"/>
    <row r="711" ht="15.75" customHeight="1" s="78"/>
    <row r="712" ht="15.75" customHeight="1" s="78"/>
    <row r="713" ht="15.75" customHeight="1" s="78"/>
    <row r="714" ht="15.75" customHeight="1" s="78"/>
    <row r="715" ht="15.75" customHeight="1" s="78"/>
    <row r="716" ht="15.75" customHeight="1" s="78"/>
    <row r="717" ht="15.75" customHeight="1" s="78"/>
    <row r="718" ht="15.75" customHeight="1" s="78"/>
    <row r="719" ht="15.75" customHeight="1" s="78"/>
    <row r="720" ht="15.75" customHeight="1" s="78"/>
    <row r="721" ht="15.75" customHeight="1" s="78"/>
    <row r="722" ht="15.75" customHeight="1" s="78"/>
    <row r="723" ht="15.75" customHeight="1" s="78"/>
    <row r="724" ht="15.75" customHeight="1" s="78"/>
    <row r="725" ht="15.75" customHeight="1" s="78"/>
    <row r="726" ht="15.75" customHeight="1" s="78"/>
    <row r="727" ht="15.75" customHeight="1" s="78"/>
    <row r="728" ht="15.75" customHeight="1" s="78"/>
    <row r="729" ht="15.75" customHeight="1" s="78"/>
    <row r="730" ht="15.75" customHeight="1" s="78"/>
    <row r="731" ht="15.75" customHeight="1" s="78"/>
    <row r="732" ht="15.75" customHeight="1" s="78"/>
    <row r="733" ht="15.75" customHeight="1" s="78"/>
    <row r="734" ht="15.75" customHeight="1" s="78"/>
    <row r="735" ht="15.75" customHeight="1" s="78"/>
    <row r="736" ht="15.75" customHeight="1" s="78"/>
    <row r="737" ht="15.75" customHeight="1" s="78"/>
    <row r="738" ht="15.75" customHeight="1" s="78"/>
    <row r="739" ht="15.75" customHeight="1" s="78"/>
    <row r="740" ht="15.75" customHeight="1" s="78"/>
    <row r="741" ht="15.75" customHeight="1" s="78"/>
    <row r="742" ht="15.75" customHeight="1" s="78"/>
    <row r="743" ht="15.75" customHeight="1" s="78"/>
    <row r="744" ht="15.75" customHeight="1" s="78"/>
    <row r="745" ht="15.75" customHeight="1" s="78"/>
    <row r="746" ht="15.75" customHeight="1" s="78"/>
    <row r="747" ht="15.75" customHeight="1" s="78"/>
    <row r="748" ht="15.75" customHeight="1" s="78"/>
    <row r="749" ht="15.75" customHeight="1" s="78"/>
    <row r="750" ht="15.75" customHeight="1" s="78"/>
    <row r="751" ht="15.75" customHeight="1" s="78"/>
    <row r="752" ht="15.75" customHeight="1" s="78"/>
    <row r="753" ht="15.75" customHeight="1" s="78"/>
    <row r="754" ht="15.75" customHeight="1" s="78"/>
    <row r="755" ht="15.75" customHeight="1" s="78"/>
    <row r="756" ht="15.75" customHeight="1" s="78"/>
    <row r="757" ht="15.75" customHeight="1" s="78"/>
    <row r="758" ht="15.75" customHeight="1" s="78"/>
    <row r="759" ht="15.75" customHeight="1" s="78"/>
    <row r="760" ht="15.75" customHeight="1" s="78"/>
    <row r="761" ht="15.75" customHeight="1" s="78"/>
    <row r="762" ht="15.75" customHeight="1" s="78"/>
    <row r="763" ht="15.75" customHeight="1" s="78"/>
    <row r="764" ht="15.75" customHeight="1" s="78"/>
    <row r="765" ht="15.75" customHeight="1" s="78"/>
    <row r="766" ht="15.75" customHeight="1" s="78"/>
    <row r="767" ht="15.75" customHeight="1" s="78"/>
    <row r="768" ht="15.75" customHeight="1" s="78"/>
    <row r="769" ht="15.75" customHeight="1" s="78"/>
    <row r="770" ht="15.75" customHeight="1" s="78"/>
    <row r="771" ht="15.75" customHeight="1" s="78"/>
    <row r="772" ht="15.75" customHeight="1" s="78"/>
    <row r="773" ht="15.75" customHeight="1" s="78"/>
    <row r="774" ht="15.75" customHeight="1" s="78"/>
    <row r="775" ht="15.75" customHeight="1" s="78"/>
    <row r="776" ht="15.75" customHeight="1" s="78"/>
    <row r="777" ht="15.75" customHeight="1" s="78"/>
    <row r="778" ht="15.75" customHeight="1" s="78"/>
    <row r="779" ht="15.75" customHeight="1" s="78"/>
    <row r="780" ht="15.75" customHeight="1" s="78"/>
    <row r="781" ht="15.75" customHeight="1" s="78"/>
    <row r="782" ht="15.75" customHeight="1" s="78"/>
    <row r="783" ht="15.75" customHeight="1" s="78"/>
    <row r="784" ht="15.75" customHeight="1" s="78"/>
    <row r="785" ht="15.75" customHeight="1" s="78"/>
    <row r="786" ht="15.75" customHeight="1" s="78"/>
    <row r="787" ht="15.75" customHeight="1" s="78"/>
    <row r="788" ht="15.75" customHeight="1" s="78"/>
    <row r="789" ht="15.75" customHeight="1" s="78"/>
    <row r="790" ht="15.75" customHeight="1" s="78"/>
    <row r="791" ht="15.75" customHeight="1" s="78"/>
    <row r="792" ht="15.75" customHeight="1" s="78"/>
    <row r="793" ht="15.75" customHeight="1" s="78"/>
    <row r="794" ht="15.75" customHeight="1" s="78"/>
    <row r="795" ht="15.75" customHeight="1" s="78"/>
    <row r="796" ht="15.75" customHeight="1" s="78"/>
    <row r="797" ht="15.75" customHeight="1" s="78"/>
    <row r="798" ht="15.75" customHeight="1" s="78"/>
    <row r="799" ht="15.75" customHeight="1" s="78"/>
    <row r="800" ht="15.75" customHeight="1" s="78"/>
    <row r="801" ht="15.75" customHeight="1" s="78"/>
    <row r="802" ht="15.75" customHeight="1" s="78"/>
    <row r="803" ht="15.75" customHeight="1" s="78"/>
    <row r="804" ht="15.75" customHeight="1" s="78"/>
    <row r="805" ht="15.75" customHeight="1" s="78"/>
    <row r="806" ht="15.75" customHeight="1" s="78"/>
    <row r="807" ht="15.75" customHeight="1" s="78"/>
    <row r="808" ht="15.75" customHeight="1" s="78"/>
    <row r="809" ht="15.75" customHeight="1" s="78"/>
    <row r="810" ht="15.75" customHeight="1" s="78"/>
    <row r="811" ht="15.75" customHeight="1" s="78"/>
    <row r="812" ht="15.75" customHeight="1" s="78"/>
    <row r="813" ht="15.75" customHeight="1" s="78"/>
    <row r="814" ht="15.75" customHeight="1" s="78"/>
    <row r="815" ht="15.75" customHeight="1" s="78"/>
    <row r="816" ht="15.75" customHeight="1" s="78"/>
    <row r="817" ht="15.75" customHeight="1" s="78"/>
    <row r="818" ht="15.75" customHeight="1" s="78"/>
    <row r="819" ht="15.75" customHeight="1" s="78"/>
    <row r="820" ht="15.75" customHeight="1" s="78"/>
    <row r="821" ht="15.75" customHeight="1" s="78"/>
    <row r="822" ht="15.75" customHeight="1" s="78"/>
    <row r="823" ht="15.75" customHeight="1" s="78"/>
    <row r="824" ht="15.75" customHeight="1" s="78"/>
    <row r="825" ht="15.75" customHeight="1" s="78"/>
    <row r="826" ht="15.75" customHeight="1" s="78"/>
    <row r="827" ht="15.75" customHeight="1" s="78"/>
    <row r="828" ht="15.75" customHeight="1" s="78"/>
    <row r="829" ht="15.75" customHeight="1" s="78"/>
    <row r="830" ht="15.75" customHeight="1" s="78"/>
    <row r="831" ht="15.75" customHeight="1" s="78"/>
    <row r="832" ht="15.75" customHeight="1" s="78"/>
    <row r="833" ht="15.75" customHeight="1" s="78"/>
    <row r="834" ht="15.75" customHeight="1" s="78"/>
    <row r="835" ht="15.75" customHeight="1" s="78"/>
    <row r="836" ht="15.75" customHeight="1" s="78"/>
    <row r="837" ht="15.75" customHeight="1" s="78"/>
    <row r="838" ht="15.75" customHeight="1" s="78"/>
    <row r="839" ht="15.75" customHeight="1" s="78"/>
    <row r="840" ht="15.75" customHeight="1" s="78"/>
    <row r="841" ht="15.75" customHeight="1" s="78"/>
    <row r="842" ht="15.75" customHeight="1" s="78"/>
    <row r="843" ht="15.75" customHeight="1" s="78"/>
    <row r="844" ht="15.75" customHeight="1" s="78"/>
    <row r="845" ht="15.75" customHeight="1" s="78"/>
    <row r="846" ht="15.75" customHeight="1" s="78"/>
    <row r="847" ht="15.75" customHeight="1" s="78"/>
    <row r="848" ht="15.75" customHeight="1" s="78"/>
    <row r="849" ht="15.75" customHeight="1" s="78"/>
    <row r="850" ht="15.75" customHeight="1" s="78"/>
    <row r="851" ht="15.75" customHeight="1" s="78"/>
    <row r="852" ht="15.75" customHeight="1" s="78"/>
    <row r="853" ht="15.75" customHeight="1" s="78"/>
    <row r="854" ht="15.75" customHeight="1" s="78"/>
    <row r="855" ht="15.75" customHeight="1" s="78"/>
    <row r="856" ht="15.75" customHeight="1" s="78"/>
    <row r="857" ht="15.75" customHeight="1" s="78"/>
    <row r="858" ht="15.75" customHeight="1" s="78"/>
    <row r="859" ht="15.75" customHeight="1" s="78"/>
    <row r="860" ht="15.75" customHeight="1" s="78"/>
    <row r="861" ht="15.75" customHeight="1" s="78"/>
    <row r="862" ht="15.75" customHeight="1" s="78"/>
    <row r="863" ht="15.75" customHeight="1" s="78"/>
    <row r="864" ht="15.75" customHeight="1" s="78"/>
    <row r="865" ht="15.75" customHeight="1" s="78"/>
    <row r="866" ht="15.75" customHeight="1" s="78"/>
    <row r="867" ht="15.75" customHeight="1" s="78"/>
    <row r="868" ht="15.75" customHeight="1" s="78"/>
    <row r="869" ht="15.75" customHeight="1" s="78"/>
    <row r="870" ht="15.75" customHeight="1" s="78"/>
    <row r="871" ht="15.75" customHeight="1" s="78"/>
    <row r="872" ht="15.75" customHeight="1" s="78"/>
    <row r="873" ht="15.75" customHeight="1" s="78"/>
    <row r="874" ht="15.75" customHeight="1" s="78"/>
    <row r="875" ht="15.75" customHeight="1" s="78"/>
    <row r="876" ht="15.75" customHeight="1" s="78"/>
    <row r="877" ht="15.75" customHeight="1" s="78"/>
    <row r="878" ht="15.75" customHeight="1" s="78"/>
    <row r="879" ht="15.75" customHeight="1" s="78"/>
    <row r="880" ht="15.75" customHeight="1" s="78"/>
    <row r="881" ht="15.75" customHeight="1" s="78"/>
    <row r="882" ht="15.75" customHeight="1" s="78"/>
    <row r="883" ht="15.75" customHeight="1" s="78"/>
    <row r="884" ht="15.75" customHeight="1" s="78"/>
    <row r="885" ht="15.75" customHeight="1" s="78"/>
    <row r="886" ht="15.75" customHeight="1" s="78"/>
    <row r="887" ht="15.75" customHeight="1" s="78"/>
    <row r="888" ht="15.75" customHeight="1" s="78"/>
    <row r="889" ht="15.75" customHeight="1" s="78"/>
    <row r="890" ht="15.75" customHeight="1" s="78"/>
    <row r="891" ht="15.75" customHeight="1" s="78"/>
    <row r="892" ht="15.75" customHeight="1" s="78"/>
    <row r="893" ht="15.75" customHeight="1" s="78"/>
    <row r="894" ht="15.75" customHeight="1" s="78"/>
    <row r="895" ht="15.75" customHeight="1" s="78"/>
    <row r="896" ht="15.75" customHeight="1" s="78"/>
    <row r="897" ht="15.75" customHeight="1" s="78"/>
    <row r="898" ht="15.75" customHeight="1" s="78"/>
    <row r="899" ht="15.75" customHeight="1" s="78"/>
    <row r="900" ht="15.75" customHeight="1" s="78"/>
    <row r="901" ht="15.75" customHeight="1" s="78"/>
    <row r="902" ht="15.75" customHeight="1" s="78"/>
    <row r="903" ht="15.75" customHeight="1" s="78"/>
    <row r="904" ht="15.75" customHeight="1" s="78"/>
    <row r="905" ht="15.75" customHeight="1" s="78"/>
    <row r="906" ht="15.75" customHeight="1" s="78"/>
    <row r="907" ht="15.75" customHeight="1" s="78"/>
    <row r="908" ht="15.75" customHeight="1" s="78"/>
    <row r="909" ht="15.75" customHeight="1" s="78"/>
    <row r="910" ht="15.75" customHeight="1" s="78"/>
    <row r="911" ht="15.75" customHeight="1" s="78"/>
    <row r="912" ht="15.75" customHeight="1" s="78"/>
    <row r="913" ht="15.75" customHeight="1" s="78"/>
    <row r="914" ht="15.75" customHeight="1" s="78"/>
    <row r="915" ht="15.75" customHeight="1" s="78"/>
    <row r="916" ht="15.75" customHeight="1" s="78"/>
    <row r="917" ht="15.75" customHeight="1" s="78"/>
    <row r="918" ht="15.75" customHeight="1" s="78"/>
    <row r="919" ht="15.75" customHeight="1" s="78"/>
    <row r="920" ht="15.75" customHeight="1" s="78"/>
    <row r="921" ht="15.75" customHeight="1" s="78"/>
    <row r="922" ht="15.75" customHeight="1" s="78"/>
    <row r="923" ht="15.75" customHeight="1" s="78"/>
    <row r="924" ht="15.75" customHeight="1" s="78"/>
    <row r="925" ht="15.75" customHeight="1" s="78"/>
    <row r="926" ht="15.75" customHeight="1" s="78"/>
    <row r="927" ht="15.75" customHeight="1" s="78"/>
    <row r="928" ht="15.75" customHeight="1" s="78"/>
    <row r="929" ht="15.75" customHeight="1" s="78"/>
    <row r="930" ht="15.75" customHeight="1" s="78"/>
    <row r="931" ht="15.75" customHeight="1" s="78"/>
    <row r="932" ht="15.75" customHeight="1" s="78"/>
    <row r="933" ht="15.75" customHeight="1" s="78"/>
    <row r="934" ht="15.75" customHeight="1" s="78"/>
    <row r="935" ht="15.75" customHeight="1" s="78"/>
    <row r="936" ht="15.75" customHeight="1" s="78"/>
    <row r="937" ht="15.75" customHeight="1" s="78"/>
    <row r="938" ht="15.75" customHeight="1" s="78"/>
    <row r="939" ht="15.75" customHeight="1" s="78"/>
    <row r="940" ht="15.75" customHeight="1" s="78"/>
    <row r="941" ht="15.75" customHeight="1" s="78"/>
    <row r="942" ht="15.75" customHeight="1" s="78"/>
    <row r="943" ht="15.75" customHeight="1" s="78"/>
    <row r="944" ht="15.75" customHeight="1" s="78"/>
    <row r="945" ht="15.75" customHeight="1" s="78"/>
    <row r="946" ht="15.75" customHeight="1" s="78"/>
    <row r="947" ht="15.75" customHeight="1" s="78"/>
    <row r="948" ht="15.75" customHeight="1" s="78"/>
    <row r="949" ht="15.75" customHeight="1" s="78"/>
    <row r="950" ht="15.75" customHeight="1" s="78"/>
    <row r="951" ht="15.75" customHeight="1" s="78"/>
    <row r="952" ht="15.75" customHeight="1" s="78"/>
    <row r="953" ht="15.75" customHeight="1" s="78"/>
    <row r="954" ht="15.75" customHeight="1" s="78"/>
    <row r="955" ht="15.75" customHeight="1" s="78"/>
    <row r="956" ht="15.75" customHeight="1" s="78"/>
    <row r="957" ht="15.75" customHeight="1" s="78"/>
    <row r="958" ht="15.75" customHeight="1" s="78"/>
    <row r="959" ht="15.75" customHeight="1" s="78"/>
    <row r="960" ht="15.75" customHeight="1" s="78"/>
    <row r="961" ht="15.75" customHeight="1" s="78"/>
    <row r="962" ht="15.75" customHeight="1" s="78"/>
    <row r="963" ht="15.75" customHeight="1" s="78"/>
    <row r="964" ht="15.75" customHeight="1" s="78"/>
    <row r="965" ht="15.75" customHeight="1" s="78"/>
    <row r="966" ht="15.75" customHeight="1" s="78"/>
    <row r="967" ht="15.75" customHeight="1" s="78"/>
    <row r="968" ht="15.75" customHeight="1" s="78"/>
    <row r="969" ht="15.75" customHeight="1" s="78"/>
    <row r="970" ht="15.75" customHeight="1" s="78"/>
    <row r="971" ht="15.75" customHeight="1" s="78"/>
    <row r="972" ht="15.75" customHeight="1" s="78"/>
    <row r="973" ht="15.75" customHeight="1" s="78"/>
    <row r="974" ht="15.75" customHeight="1" s="78"/>
    <row r="975" ht="15.75" customHeight="1" s="78"/>
    <row r="976" ht="15.75" customHeight="1" s="78"/>
    <row r="977" ht="15.75" customHeight="1" s="78"/>
    <row r="978" ht="15.75" customHeight="1" s="78"/>
    <row r="979" ht="15.75" customHeight="1" s="78"/>
    <row r="980" ht="15.75" customHeight="1" s="78"/>
    <row r="981" ht="15.75" customHeight="1" s="78"/>
    <row r="982" ht="15.75" customHeight="1" s="78"/>
    <row r="983" ht="15.75" customHeight="1" s="78"/>
    <row r="984" ht="15.75" customHeight="1" s="78"/>
    <row r="985" ht="15.75" customHeight="1" s="78"/>
    <row r="986" ht="15.75" customHeight="1" s="78"/>
    <row r="987" ht="15.75" customHeight="1" s="78"/>
    <row r="988" ht="15.75" customHeight="1" s="78"/>
    <row r="989" ht="15.75" customHeight="1" s="78"/>
    <row r="990" ht="15.75" customHeight="1" s="78"/>
    <row r="991" ht="15.75" customHeight="1" s="78"/>
    <row r="992" ht="15.75" customHeight="1" s="78"/>
    <row r="993" ht="15.75" customHeight="1" s="78"/>
    <row r="994" ht="15.75" customHeight="1" s="78"/>
    <row r="995" ht="15.75" customHeight="1" s="78"/>
    <row r="996" ht="15.75" customHeight="1" s="78"/>
    <row r="997" ht="15.75" customHeight="1" s="78"/>
    <row r="998" ht="15.75" customHeight="1" s="78"/>
    <row r="999" ht="15.75" customHeight="1" s="78"/>
    <row r="1000" ht="15.75" customHeight="1" s="78"/>
  </sheetData>
  <mergeCells count="19">
    <mergeCell ref="A41:F41"/>
    <mergeCell ref="E43:F43"/>
    <mergeCell ref="E42:F42"/>
    <mergeCell ref="A43:D43"/>
    <mergeCell ref="E48:F48"/>
    <mergeCell ref="E44:F44"/>
    <mergeCell ref="A44:D44"/>
    <mergeCell ref="A48:D48"/>
    <mergeCell ref="A49:D49"/>
    <mergeCell ref="A45:D45"/>
    <mergeCell ref="E46:F46"/>
    <mergeCell ref="E49:F49"/>
    <mergeCell ref="E45:F45"/>
    <mergeCell ref="A46:D46"/>
    <mergeCell ref="A1:F1"/>
    <mergeCell ref="A47:D47"/>
    <mergeCell ref="A42:D42"/>
    <mergeCell ref="A2:M2"/>
    <mergeCell ref="E47:F47"/>
  </mergeCells>
  <dataValidations count="1">
    <dataValidation sqref="F5:F39" showDropDown="0" showInputMessage="0" showErrorMessage="0" allowBlank="1" type="list">
      <formula1>"Pass,Partial,Fail,Not Tested,N/A"</formula1>
    </dataValidation>
  </dataValidations>
  <pageMargins left="0.75" right="0.75" top="1" bottom="1" header="0" footer="0"/>
  <pageSetup orientation="landscape" fitToHeight="0"/>
</worksheet>
</file>

<file path=xl/worksheets/sheet13.xml><?xml version="1.0" encoding="utf-8"?>
<worksheet xmlns="http://schemas.openxmlformats.org/spreadsheetml/2006/main">
  <sheetPr>
    <outlinePr summaryBelow="1" summaryRight="1"/>
    <pageSetUpPr fitToPage="1"/>
  </sheetPr>
  <dimension ref="A1:J22"/>
  <sheetViews>
    <sheetView workbookViewId="0">
      <pane ySplit="4" topLeftCell="A5" activePane="bottomLeft" state="frozen"/>
      <selection pane="bottomLeft" activeCell="A1" sqref="A1"/>
    </sheetView>
  </sheetViews>
  <sheetFormatPr baseColWidth="8" defaultColWidth="14.43" defaultRowHeight="15" customHeight="1"/>
  <cols>
    <col width="6" customWidth="1" style="78" min="1" max="1"/>
    <col width="46" customWidth="1" style="78" min="2" max="2"/>
    <col width="26" customWidth="1" style="78" min="3" max="3"/>
    <col width="9" customWidth="1" style="78" min="4" max="4"/>
    <col width="13.71" customWidth="1" style="78" min="5" max="5"/>
    <col width="9" customWidth="1" style="78" min="6" max="6"/>
    <col width="40" customWidth="1" style="78" min="7" max="7"/>
    <col width="11" customWidth="1" style="78" min="8" max="8"/>
    <col width="8" customWidth="1" style="78" min="9" max="9"/>
    <col width="50" customWidth="1" style="78" min="10" max="10"/>
    <col width="8.710000000000001" customWidth="1" style="78" min="11" max="26"/>
  </cols>
  <sheetData>
    <row r="1">
      <c r="A1" s="76" t="inlineStr">
        <is>
          <t>Financial Transaction Accessibility (Supplemental) AccessMore (Access Bank, Nigeria)</t>
        </is>
      </c>
    </row>
    <row r="2" ht="15" customHeight="1" s="78">
      <c r="A2" s="6" t="inlineStr">
        <is>
          <t>Not part of WCAG. Grounded in GSMA Mobile Money Accessibility Guidelines, ITU-T F.921, and EN 301 549's authentication / real-time-transaction clauses. Blue cells are inputs.</t>
        </is>
      </c>
    </row>
    <row r="4" ht="30" customHeight="1" s="78">
      <c r="A4" s="8" t="inlineStr">
        <is>
          <t>Ref</t>
        </is>
      </c>
      <c r="B4" s="8" t="inlineStr">
        <is>
          <t>Check</t>
        </is>
      </c>
      <c r="C4" s="8" t="inlineStr">
        <is>
          <t>Standard reference</t>
        </is>
      </c>
      <c r="D4" s="8" t="inlineStr">
        <is>
          <t>Weight
(1-3)</t>
        </is>
      </c>
      <c r="E4" s="8" t="inlineStr">
        <is>
          <t>Status</t>
        </is>
      </c>
      <c r="F4" s="8" t="inlineStr">
        <is>
          <t>Status
score</t>
        </is>
      </c>
      <c r="G4" s="8" t="inlineStr">
        <is>
          <t>Notes / Evidence</t>
        </is>
      </c>
      <c r="H4" s="8" t="inlineStr">
        <is>
          <t>Weighted
score</t>
        </is>
      </c>
      <c r="I4" s="18" t="inlineStr">
        <is>
          <t>Tested?</t>
        </is>
      </c>
      <c r="J4" s="8" t="inlineStr">
        <is>
          <t>Recommended Improvement</t>
        </is>
      </c>
    </row>
    <row r="5">
      <c r="A5" s="10" t="inlineStr">
        <is>
          <t>T1</t>
        </is>
      </c>
      <c r="B5" s="17" t="inlineStr">
        <is>
          <t>Transaction confirmation screen states recipient, amount, currency and fee as one clear announced statement before an irreversible send.</t>
        </is>
      </c>
      <c r="C5" s="39" t="inlineStr">
        <is>
          <t>WCAG 3.3.4; GSMA MM Accessibility Guideline 4.2</t>
        </is>
      </c>
      <c r="D5" s="23" t="n">
        <v>3</v>
      </c>
      <c r="E5" s="43" t="inlineStr">
        <is>
          <t>Fail</t>
        </is>
      </c>
      <c r="F5" s="15">
        <f>IF(E5="Pass",1,IF(E5="Partial",0.5,IF(E5="Fail",0,0)))</f>
        <v/>
      </c>
      <c r="G5" s="34" t="inlineStr">
        <is>
          <t>No pre-send review was captured, and the success screen (S2-5) says 'Transfer Request Successful' without the recipient, amount or fee.</t>
        </is>
      </c>
      <c r="H5" s="15">
        <f>D5*F5</f>
        <v/>
      </c>
      <c r="I5" s="15">
        <f>IF(OR(E5="Pass",E5="Partial",E5="Fail"),1,0)</f>
        <v/>
      </c>
      <c r="J5" s="62" t="inlineStr">
        <is>
          <t>Add a review step that states recipient, amount, currency and fee as one announced statement, and restate them on the success screen.</t>
        </is>
      </c>
    </row>
    <row r="6">
      <c r="A6" s="22" t="inlineStr">
        <is>
          <t>T2</t>
        </is>
      </c>
      <c r="B6" s="33" t="inlineStr">
        <is>
          <t>Time allowed to enter an OTP/PIN or confirm a transfer can be extended, and is not so short that assistive-tech input causes failure.</t>
        </is>
      </c>
      <c r="C6" s="46" t="inlineStr">
        <is>
          <t>WCAG 2.2.1; EN 301 549 §11.7</t>
        </is>
      </c>
      <c r="D6" s="42" t="n">
        <v>2</v>
      </c>
      <c r="E6" s="50" t="inlineStr">
        <is>
          <t>Not Tested</t>
        </is>
      </c>
      <c r="F6" s="29">
        <f>IF(E6="Pass",1,IF(E6="Partial",0.5,IF(E6="Fail",0,0)))</f>
        <v/>
      </c>
      <c r="G6" s="45" t="inlineStr">
        <is>
          <t>Requires manual timing test with TalkBack enabled.</t>
        </is>
      </c>
      <c r="H6" s="29">
        <f>D6*F6</f>
        <v/>
      </c>
      <c r="I6" s="29">
        <f>IF(OR(E6="Pass",E6="Partial",E6="Fail"),1,0)</f>
        <v/>
      </c>
      <c r="J6" s="57" t="inlineStr">
        <is>
          <t>No fix to prescribe yet - conduct the manual test first to confirm actual status.</t>
        </is>
      </c>
    </row>
    <row r="7">
      <c r="A7" s="10" t="inlineStr">
        <is>
          <t>T3</t>
        </is>
      </c>
      <c r="B7" s="17" t="inlineStr">
        <is>
          <t>Transaction success or failure is announced non-visually (spoken/haptic), not only as an on-screen toast.</t>
        </is>
      </c>
      <c r="C7" s="39" t="inlineStr">
        <is>
          <t>WCAG 4.1.3; GSMA MM Accessibility Guideline 4.4</t>
        </is>
      </c>
      <c r="D7" s="23" t="n">
        <v>3</v>
      </c>
      <c r="E7" s="50" t="inlineStr">
        <is>
          <t>Not Tested</t>
        </is>
      </c>
      <c r="F7" s="15">
        <f>IF(E7="Pass",1,IF(E7="Partial",0.5,IF(E7="Fail",0,0)))</f>
        <v/>
      </c>
      <c r="G7" s="34" t="inlineStr">
        <is>
          <t>A persistent success screen is shown (S2-5), not only a toast. Announcement was not tested.</t>
        </is>
      </c>
      <c r="H7" s="15">
        <f>D7*F7</f>
        <v/>
      </c>
      <c r="I7" s="15">
        <f>IF(OR(E7="Pass",E7="Partial",E7="Fail"),1,0)</f>
        <v/>
      </c>
      <c r="J7" s="53" t="inlineStr">
        <is>
          <t>No fix to prescribe yet - conduct the manual test first to confirm actual status.</t>
        </is>
      </c>
    </row>
    <row r="8">
      <c r="A8" s="22" t="inlineStr">
        <is>
          <t>T4</t>
        </is>
      </c>
      <c r="B8" s="33" t="inlineStr">
        <is>
          <t>Digital receipts / statements (SMS, email, in-app PDF) are delivered as accessible text, not a flattened image.</t>
        </is>
      </c>
      <c r="C8" s="46" t="inlineStr">
        <is>
          <t>GSMA MM Accessibility Guideline 5.1</t>
        </is>
      </c>
      <c r="D8" s="42" t="n">
        <v>2</v>
      </c>
      <c r="E8" s="50" t="inlineStr">
        <is>
          <t>Not Tested</t>
        </is>
      </c>
      <c r="F8" s="29">
        <f>IF(E8="Pass",1,IF(E8="Partial",0.5,IF(E8="Fail",0,0)))</f>
        <v/>
      </c>
      <c r="G8" s="45" t="inlineStr">
        <is>
          <t>'Share Receipt' is offered on the success screen (S2-5). Format was not checked.</t>
        </is>
      </c>
      <c r="H8" s="29">
        <f>D8*F8</f>
        <v/>
      </c>
      <c r="I8" s="29">
        <f>IF(OR(E8="Pass",E8="Partial",E8="Fail"),1,0)</f>
        <v/>
      </c>
      <c r="J8" s="57" t="inlineStr">
        <is>
          <t>No fix to prescribe yet - conduct the manual test first to confirm actual status.</t>
        </is>
      </c>
    </row>
    <row r="9">
      <c r="A9" s="10" t="inlineStr">
        <is>
          <t>T5</t>
        </is>
      </c>
      <c r="B9" s="17" t="inlineStr">
        <is>
          <t>Amounts and currency are unambiguous when read aloud (e.g. 'RWF 1,000' is not mis-announced as a date or misread digit-by-digit).</t>
        </is>
      </c>
      <c r="C9" s="39" t="inlineStr">
        <is>
          <t>ITU-T F.921 §6.3</t>
        </is>
      </c>
      <c r="D9" s="23" t="n">
        <v>2</v>
      </c>
      <c r="E9" s="50" t="inlineStr">
        <is>
          <t>Not Tested</t>
        </is>
      </c>
      <c r="F9" s="15">
        <f>IF(E9="Pass",1,IF(E9="Partial",0.5,IF(E9="Fail",0,0)))</f>
        <v/>
      </c>
      <c r="G9" s="34" t="inlineStr">
        <is>
          <t>₦ spacing and decimals are inconsistent: '₦2,051.77', '₦ 2,041.02', '-₦ 500.00', '₦5,000,000' vs '₦5,000,000.00'.</t>
        </is>
      </c>
      <c r="H9" s="15">
        <f>D9*F9</f>
        <v/>
      </c>
      <c r="I9" s="15">
        <f>IF(OR(E9="Pass",E9="Partial",E9="Fail"),1,0)</f>
        <v/>
      </c>
      <c r="J9" s="53" t="inlineStr">
        <is>
          <t>No fix to prescribe yet - conduct the manual test first to confirm actual status.</t>
        </is>
      </c>
    </row>
    <row r="10">
      <c r="A10" s="22" t="inlineStr">
        <is>
          <t>T6</t>
        </is>
      </c>
      <c r="B10" s="33" t="inlineStr">
        <is>
          <t>A non-touchscreen channel (USSD, IVR, or agent-assisted banking) exists for users who cannot operate a smartphone app, and that channel is itself usable non-visually.</t>
        </is>
      </c>
      <c r="C10" s="46" t="inlineStr">
        <is>
          <t>GSMA MM Accessibility Guideline 2.1; ITU-D digital financial inclusion guidance</t>
        </is>
      </c>
      <c r="D10" s="42" t="n">
        <v>3</v>
      </c>
      <c r="E10" s="50" t="inlineStr">
        <is>
          <t>Not Tested</t>
        </is>
      </c>
      <c r="F10" s="29">
        <f>IF(E10="Pass",1,IF(E10="Partial",0.5,IF(E10="Fail",0,0)))</f>
        <v/>
      </c>
      <c r="G10" s="45" t="inlineStr">
        <is>
          <t>Out of scope for this app-only scan. USSD banking is widely used in Nigeria, and this scorecard has not evaluated that channel at all.</t>
        </is>
      </c>
      <c r="H10" s="29">
        <f>D10*F10</f>
        <v/>
      </c>
      <c r="I10" s="29">
        <f>IF(OR(E10="Pass",E10="Partial",E10="Fail"),1,0)</f>
        <v/>
      </c>
      <c r="J10" s="57" t="inlineStr">
        <is>
          <t>No fix to prescribe yet - conduct the manual test first to confirm actual status.</t>
        </is>
      </c>
    </row>
    <row r="11">
      <c r="A11" s="10" t="inlineStr">
        <is>
          <t>T7</t>
        </is>
      </c>
      <c r="B11" s="17" t="inlineStr">
        <is>
          <t>Biometric login is offered as an alternative to a spoken/visible PIN.</t>
        </is>
      </c>
      <c r="C11" s="39" t="inlineStr">
        <is>
          <t>WCAG 3.3.7/3.3.8</t>
        </is>
      </c>
      <c r="D11" s="23" t="n">
        <v>2</v>
      </c>
      <c r="E11" s="50" t="inlineStr">
        <is>
          <t>Pass</t>
        </is>
      </c>
      <c r="F11" s="15">
        <f>IF(E11="Pass",1,IF(E11="Partial",0.5,IF(E11="Fail",0,0)))</f>
        <v/>
      </c>
      <c r="G11" s="34" t="inlineStr">
        <is>
          <t>'Biometric Login' is ON and 'Biometric Transactions' is available in Settings (S2-17).</t>
        </is>
      </c>
      <c r="H11" s="15">
        <f>D11*F11</f>
        <v/>
      </c>
      <c r="I11" s="15">
        <f>IF(OR(E11="Pass",E11="Partial",E11="Fail"),1,0)</f>
        <v/>
      </c>
      <c r="J11" s="53" t="inlineStr">
        <is>
          <t>No action needed on current evidence. The toggles' labels need fixing (see 4.1.2).</t>
        </is>
      </c>
    </row>
    <row r="12">
      <c r="A12" s="22" t="inlineStr">
        <is>
          <t>T8</t>
        </is>
      </c>
      <c r="B12" s="33" t="inlineStr">
        <is>
          <t>Fraud/security alerts and a dispute or help-escalation path are reachable and readable with a screen reader.</t>
        </is>
      </c>
      <c r="C12" s="46" t="inlineStr">
        <is>
          <t>EN 301 549 §11.8; GSMA MM Accessibility Guideline 4.5</t>
        </is>
      </c>
      <c r="D12" s="42" t="n">
        <v>2</v>
      </c>
      <c r="E12" s="43" t="inlineStr">
        <is>
          <t>Partial</t>
        </is>
      </c>
      <c r="F12" s="29">
        <f>IF(E12="Pass",1,IF(E12="Partial",0.5,IF(E12="Fail",0,0)))</f>
        <v/>
      </c>
      <c r="G12" s="45" t="inlineStr">
        <is>
          <t>A fraud-awareness banner is on Home (S2-2), and Support lists 'Report an Issue' (S2-10). Screen-reader behaviour of these flows was not verified, and Livechat loaded blank (S2-11).</t>
        </is>
      </c>
      <c r="H12" s="29">
        <f>D12*F12</f>
        <v/>
      </c>
      <c r="I12" s="29">
        <f>IF(OR(E12="Pass",E12="Partial",E12="Fail"),1,0)</f>
        <v/>
      </c>
      <c r="J12" s="47" t="inlineStr">
        <is>
          <t>Test 'Report an Issue' and Livechat end to end with TalkBack. Make sure the chat WebView loads and exposes its content.</t>
        </is>
      </c>
    </row>
    <row r="13">
      <c r="A13" s="10" t="inlineStr">
        <is>
          <t>T9</t>
        </is>
      </c>
      <c r="B13" s="17" t="inlineStr">
        <is>
          <t>Transaction limits, fees and exchange rates are disclosed as accessible text before confirmation, not only visually.</t>
        </is>
      </c>
      <c r="C13" s="39" t="inlineStr">
        <is>
          <t>WCAG 3.3.4; consumer-protection disclosure norms (e.g. AFI / GSMA)</t>
        </is>
      </c>
      <c r="D13" s="23" t="n">
        <v>3</v>
      </c>
      <c r="E13" s="43" t="inlineStr">
        <is>
          <t>Partial</t>
        </is>
      </c>
      <c r="F13" s="15">
        <f>IF(E13="Pass",1,IF(E13="Partial",0.5,IF(E13="Fail",0,0)))</f>
        <v/>
      </c>
      <c r="G13" s="34" t="inlineStr">
        <is>
          <t>The daily limit, amount used / remaining and maximum per transaction are disclosed on the transfer forms (S1-2, S2-3). The fee (₦10 commission + ₦0.75 VAT) is shown only afterwards in history (S2-9).</t>
        </is>
      </c>
      <c r="H13" s="15">
        <f>D13*F13</f>
        <v/>
      </c>
      <c r="I13" s="15">
        <f>IF(OR(E13="Pass",E13="Partial",E13="Fail"),1,0)</f>
        <v/>
      </c>
      <c r="J13" s="62" t="inlineStr">
        <is>
          <t>Show the fee before confirmation as labelled accessible text.</t>
        </is>
      </c>
    </row>
    <row r="14">
      <c r="A14" s="22" t="inlineStr">
        <is>
          <t>T10</t>
        </is>
      </c>
      <c r="B14" s="33" t="inlineStr">
        <is>
          <t>A multi-step transaction does not require re-entering the same information (e.g. phone number typed once, reused for confirmation).</t>
        </is>
      </c>
      <c r="C14" s="46" t="inlineStr">
        <is>
          <t>WCAG 3.3.9</t>
        </is>
      </c>
      <c r="D14" s="42" t="n">
        <v>1</v>
      </c>
      <c r="E14" s="50" t="inlineStr">
        <is>
          <t>Not Tested</t>
        </is>
      </c>
      <c r="F14" s="29">
        <f>IF(E14="Pass",1,IF(E14="Partial",0.5,IF(E14="Fail",0,0)))</f>
        <v/>
      </c>
      <c r="G14" s="45" t="inlineStr">
        <is>
          <t>Frequent Beneficiaries and Save Beneficiary exist.</t>
        </is>
      </c>
      <c r="H14" s="29">
        <f>D14*F14</f>
        <v/>
      </c>
      <c r="I14" s="29">
        <f>IF(OR(E14="Pass",E14="Partial",E14="Fail"),1,0)</f>
        <v/>
      </c>
      <c r="J14" s="57" t="inlineStr">
        <is>
          <t>No fix to prescribe yet - conduct the manual test first to confirm actual status.</t>
        </is>
      </c>
    </row>
    <row r="15">
      <c r="A15" s="10" t="inlineStr">
        <is>
          <t>T11</t>
        </is>
      </c>
      <c r="B15" s="17" t="inlineStr">
        <is>
          <t>Switching app language does not reset or lose an in-progress transaction, and the switcher itself is screen-reader accessible.</t>
        </is>
      </c>
      <c r="C15" s="39" t="inlineStr">
        <is>
          <t>WCAG 3.1.2; EN 301 549 §11.9</t>
        </is>
      </c>
      <c r="D15" s="23" t="n">
        <v>1</v>
      </c>
      <c r="E15" s="50" t="inlineStr">
        <is>
          <t>Not Tested</t>
        </is>
      </c>
      <c r="F15" s="15">
        <f>IF(E15="Pass",1,IF(E15="Partial",0.5,IF(E15="Fail",0,0)))</f>
        <v/>
      </c>
      <c r="G15" s="34" t="inlineStr">
        <is>
          <t>No language selector observed.</t>
        </is>
      </c>
      <c r="H15" s="15">
        <f>D15*F15</f>
        <v/>
      </c>
      <c r="I15" s="15">
        <f>IF(OR(E15="Pass",E15="Partial",E15="Fail"),1,0)</f>
        <v/>
      </c>
      <c r="J15" s="53" t="inlineStr">
        <is>
          <t>No fix to prescribe yet - conduct the manual test first to confirm actual status.</t>
        </is>
      </c>
    </row>
    <row r="16">
      <c r="A16" s="22" t="inlineStr">
        <is>
          <t>T12</t>
        </is>
      </c>
      <c r="B16" s="33" t="inlineStr">
        <is>
          <t>An accessible-format customer support channel (toll-free voice line, etc.) is discoverable for a user who cannot complete a transaction independently.</t>
        </is>
      </c>
      <c r="C16" s="46" t="inlineStr">
        <is>
          <t>GSMA MM Accessibility Guideline 4.5</t>
        </is>
      </c>
      <c r="D16" s="42" t="n">
        <v>2</v>
      </c>
      <c r="E16" s="54" t="inlineStr">
        <is>
          <t>Pass</t>
        </is>
      </c>
      <c r="F16" s="29">
        <f>IF(E16="Pass",1,IF(E16="Partial",0.5,IF(E16="Fail",0,0)))</f>
        <v/>
      </c>
      <c r="G16" s="45" t="inlineStr">
        <is>
          <t>The Support screen lists 'Call us' numbers, 'Chat with Tamada', FAQ and 'Report an Issue' as plain text, with no scanner findings (S2-10).</t>
        </is>
      </c>
      <c r="H16" s="29">
        <f>D16*F16</f>
        <v/>
      </c>
      <c r="I16" s="29">
        <f>IF(OR(E16="Pass",E16="Partial",E16="Fail"),1,0)</f>
        <v/>
      </c>
      <c r="J16" s="57" t="inlineStr">
        <is>
          <t>No action needed on current evidence.</t>
        </is>
      </c>
    </row>
    <row r="18">
      <c r="A18" s="98" t="inlineStr">
        <is>
          <t>TRANSACTION ACCESSIBILITY SCORE</t>
        </is>
      </c>
      <c r="B18" s="92" t="n"/>
      <c r="C18" s="92" t="n"/>
      <c r="D18" s="93" t="n"/>
    </row>
    <row r="19">
      <c r="A19" s="94" t="inlineStr">
        <is>
          <t>Weighted score achieved (sum)</t>
        </is>
      </c>
      <c r="B19" s="92" t="n"/>
      <c r="C19" s="93" t="n"/>
      <c r="D19" s="29">
        <f>SUM(H5:H16)</f>
        <v/>
      </c>
      <c r="E19" s="93" t="n"/>
    </row>
    <row r="20">
      <c r="A20" s="94" t="inlineStr">
        <is>
          <t>Weighted score possible (tested only)</t>
        </is>
      </c>
      <c r="B20" s="92" t="n"/>
      <c r="C20" s="93" t="n"/>
      <c r="D20" s="29">
        <f>SUMPRODUCT(I5:I16*D5:D16)</f>
        <v/>
      </c>
      <c r="E20" s="93" t="n"/>
    </row>
    <row r="21" ht="15.75" customHeight="1" s="78">
      <c r="A21" s="99" t="inlineStr">
        <is>
          <t>TRANSACTION SCORE (0-100)</t>
        </is>
      </c>
      <c r="B21" s="92" t="n"/>
      <c r="C21" s="93" t="n"/>
      <c r="D21" s="96">
        <f>IFERROR(D19/D20*100,0)</f>
        <v/>
      </c>
      <c r="E21" s="93" t="n"/>
    </row>
    <row r="22" ht="15.75" customHeight="1" s="78">
      <c r="A22" s="94" t="inlineStr">
        <is>
          <t>Checks not yet tested (count)</t>
        </is>
      </c>
      <c r="B22" s="92" t="n"/>
      <c r="C22" s="93" t="n"/>
      <c r="D22" s="29">
        <f>COUNTIF(E5:E16,"Not Tested")</f>
        <v/>
      </c>
      <c r="E22" s="93" t="n"/>
    </row>
    <row r="23" ht="15.75" customHeight="1" s="78"/>
    <row r="24" ht="15.75" customHeight="1" s="78"/>
    <row r="25" ht="15.75" customHeight="1" s="78"/>
    <row r="26" ht="15.75" customHeight="1" s="78"/>
    <row r="27" ht="15.75" customHeight="1" s="78"/>
    <row r="28" ht="15.75" customHeight="1" s="78"/>
    <row r="29" ht="15.75" customHeight="1" s="78"/>
    <row r="30" ht="15.75" customHeight="1" s="78"/>
    <row r="31" ht="15.75" customHeight="1" s="78"/>
    <row r="32" ht="15.75" customHeight="1" s="78"/>
    <row r="33" ht="15.75" customHeight="1" s="78"/>
    <row r="34" ht="15.75" customHeight="1" s="78"/>
    <row r="35" ht="15.75" customHeight="1" s="78"/>
    <row r="36" ht="15.75" customHeight="1" s="78"/>
    <row r="37" ht="15.75" customHeight="1" s="78"/>
    <row r="38" ht="15.75" customHeight="1" s="78"/>
    <row r="39" ht="15.75" customHeight="1" s="78"/>
    <row r="40" ht="15.75" customHeight="1" s="78"/>
    <row r="41" ht="15.75" customHeight="1" s="78"/>
    <row r="42" ht="15.75" customHeight="1" s="78"/>
    <row r="43" ht="15.75" customHeight="1" s="78"/>
    <row r="44" ht="15.75" customHeight="1" s="78"/>
    <row r="45" ht="15.75" customHeight="1" s="78"/>
    <row r="46" ht="15.75" customHeight="1" s="78"/>
    <row r="47" ht="15.75" customHeight="1" s="78"/>
    <row r="48" ht="15.75" customHeight="1" s="78"/>
    <row r="49" ht="15.75" customHeight="1" s="78"/>
    <row r="50" ht="15.75" customHeight="1" s="78"/>
    <row r="51" ht="15.75" customHeight="1" s="78"/>
    <row r="52" ht="15.75" customHeight="1" s="78"/>
    <row r="53" ht="15.75" customHeight="1" s="78"/>
    <row r="54" ht="15.75" customHeight="1" s="78"/>
    <row r="55" ht="15.75" customHeight="1" s="78"/>
    <row r="56" ht="15.75" customHeight="1" s="78"/>
    <row r="57" ht="15.75" customHeight="1" s="78"/>
    <row r="58" ht="15.75" customHeight="1" s="78"/>
    <row r="59" ht="15.75" customHeight="1" s="78"/>
    <row r="60" ht="15.75" customHeight="1" s="78"/>
    <row r="61" ht="15.75" customHeight="1" s="78"/>
    <row r="62" ht="15.75" customHeight="1" s="78"/>
    <row r="63" ht="15.75" customHeight="1" s="78"/>
    <row r="64" ht="15.75" customHeight="1" s="78"/>
    <row r="65" ht="15.75" customHeight="1" s="78"/>
    <row r="66" ht="15.75" customHeight="1" s="78"/>
    <row r="67" ht="15.75" customHeight="1" s="78"/>
    <row r="68" ht="15.75" customHeight="1" s="78"/>
    <row r="69" ht="15.75" customHeight="1" s="78"/>
    <row r="70" ht="15.75" customHeight="1" s="78"/>
    <row r="71" ht="15.75" customHeight="1" s="78"/>
    <row r="72" ht="15.75" customHeight="1" s="78"/>
    <row r="73" ht="15.75" customHeight="1" s="78"/>
    <row r="74" ht="15.75" customHeight="1" s="78"/>
    <row r="75" ht="15.75" customHeight="1" s="78"/>
    <row r="76" ht="15.75" customHeight="1" s="78"/>
    <row r="77" ht="15.75" customHeight="1" s="78"/>
    <row r="78" ht="15.75" customHeight="1" s="78"/>
    <row r="79" ht="15.75" customHeight="1" s="78"/>
    <row r="80" ht="15.75" customHeight="1" s="78"/>
    <row r="81" ht="15.75" customHeight="1" s="78"/>
    <row r="82" ht="15.75" customHeight="1" s="78"/>
    <row r="83" ht="15.75" customHeight="1" s="78"/>
    <row r="84" ht="15.75" customHeight="1" s="78"/>
    <row r="85" ht="15.75" customHeight="1" s="78"/>
    <row r="86" ht="15.75" customHeight="1" s="78"/>
    <row r="87" ht="15.75" customHeight="1" s="78"/>
    <row r="88" ht="15.75" customHeight="1" s="78"/>
    <row r="89" ht="15.75" customHeight="1" s="78"/>
    <row r="90" ht="15.75" customHeight="1" s="78"/>
    <row r="91" ht="15.75" customHeight="1" s="78"/>
    <row r="92" ht="15.75" customHeight="1" s="78"/>
    <row r="93" ht="15.75" customHeight="1" s="78"/>
    <row r="94" ht="15.75" customHeight="1" s="78"/>
    <row r="95" ht="15.75" customHeight="1" s="78"/>
    <row r="96" ht="15.75" customHeight="1" s="78"/>
    <row r="97" ht="15.75" customHeight="1" s="78"/>
    <row r="98" ht="15.75" customHeight="1" s="78"/>
    <row r="99" ht="15.75" customHeight="1" s="78"/>
    <row r="100" ht="15.75" customHeight="1" s="78"/>
    <row r="101" ht="15.75" customHeight="1" s="78"/>
    <row r="102" ht="15.75" customHeight="1" s="78"/>
    <row r="103" ht="15.75" customHeight="1" s="78"/>
    <row r="104" ht="15.75" customHeight="1" s="78"/>
    <row r="105" ht="15.75" customHeight="1" s="78"/>
    <row r="106" ht="15.75" customHeight="1" s="78"/>
    <row r="107" ht="15.75" customHeight="1" s="78"/>
    <row r="108" ht="15.75" customHeight="1" s="78"/>
    <row r="109" ht="15.75" customHeight="1" s="78"/>
    <row r="110" ht="15.75" customHeight="1" s="78"/>
    <row r="111" ht="15.75" customHeight="1" s="78"/>
    <row r="112" ht="15.75" customHeight="1" s="78"/>
    <row r="113" ht="15.75" customHeight="1" s="78"/>
    <row r="114" ht="15.75" customHeight="1" s="78"/>
    <row r="115" ht="15.75" customHeight="1" s="78"/>
    <row r="116" ht="15.75" customHeight="1" s="78"/>
    <row r="117" ht="15.75" customHeight="1" s="78"/>
    <row r="118" ht="15.75" customHeight="1" s="78"/>
    <row r="119" ht="15.75" customHeight="1" s="78"/>
    <row r="120" ht="15.75" customHeight="1" s="78"/>
    <row r="121" ht="15.75" customHeight="1" s="78"/>
    <row r="122" ht="15.75" customHeight="1" s="78"/>
    <row r="123" ht="15.75" customHeight="1" s="78"/>
    <row r="124" ht="15.75" customHeight="1" s="78"/>
    <row r="125" ht="15.75" customHeight="1" s="78"/>
    <row r="126" ht="15.75" customHeight="1" s="78"/>
    <row r="127" ht="15.75" customHeight="1" s="78"/>
    <row r="128" ht="15.75" customHeight="1" s="78"/>
    <row r="129" ht="15.75" customHeight="1" s="78"/>
    <row r="130" ht="15.75" customHeight="1" s="78"/>
    <row r="131" ht="15.75" customHeight="1" s="78"/>
    <row r="132" ht="15.75" customHeight="1" s="78"/>
    <row r="133" ht="15.75" customHeight="1" s="78"/>
    <row r="134" ht="15.75" customHeight="1" s="78"/>
    <row r="135" ht="15.75" customHeight="1" s="78"/>
    <row r="136" ht="15.75" customHeight="1" s="78"/>
    <row r="137" ht="15.75" customHeight="1" s="78"/>
    <row r="138" ht="15.75" customHeight="1" s="78"/>
    <row r="139" ht="15.75" customHeight="1" s="78"/>
    <row r="140" ht="15.75" customHeight="1" s="78"/>
    <row r="141" ht="15.75" customHeight="1" s="78"/>
    <row r="142" ht="15.75" customHeight="1" s="78"/>
    <row r="143" ht="15.75" customHeight="1" s="78"/>
    <row r="144" ht="15.75" customHeight="1" s="78"/>
    <row r="145" ht="15.75" customHeight="1" s="78"/>
    <row r="146" ht="15.75" customHeight="1" s="78"/>
    <row r="147" ht="15.75" customHeight="1" s="78"/>
    <row r="148" ht="15.75" customHeight="1" s="78"/>
    <row r="149" ht="15.75" customHeight="1" s="78"/>
    <row r="150" ht="15.75" customHeight="1" s="78"/>
    <row r="151" ht="15.75" customHeight="1" s="78"/>
    <row r="152" ht="15.75" customHeight="1" s="78"/>
    <row r="153" ht="15.75" customHeight="1" s="78"/>
    <row r="154" ht="15.75" customHeight="1" s="78"/>
    <row r="155" ht="15.75" customHeight="1" s="78"/>
    <row r="156" ht="15.75" customHeight="1" s="78"/>
    <row r="157" ht="15.75" customHeight="1" s="78"/>
    <row r="158" ht="15.75" customHeight="1" s="78"/>
    <row r="159" ht="15.75" customHeight="1" s="78"/>
    <row r="160" ht="15.75" customHeight="1" s="78"/>
    <row r="161" ht="15.75" customHeight="1" s="78"/>
    <row r="162" ht="15.75" customHeight="1" s="78"/>
    <row r="163" ht="15.75" customHeight="1" s="78"/>
    <row r="164" ht="15.75" customHeight="1" s="78"/>
    <row r="165" ht="15.75" customHeight="1" s="78"/>
    <row r="166" ht="15.75" customHeight="1" s="78"/>
    <row r="167" ht="15.75" customHeight="1" s="78"/>
    <row r="168" ht="15.75" customHeight="1" s="78"/>
    <row r="169" ht="15.75" customHeight="1" s="78"/>
    <row r="170" ht="15.75" customHeight="1" s="78"/>
    <row r="171" ht="15.75" customHeight="1" s="78"/>
    <row r="172" ht="15.75" customHeight="1" s="78"/>
    <row r="173" ht="15.75" customHeight="1" s="78"/>
    <row r="174" ht="15.75" customHeight="1" s="78"/>
    <row r="175" ht="15.75" customHeight="1" s="78"/>
    <row r="176" ht="15.75" customHeight="1" s="78"/>
    <row r="177" ht="15.75" customHeight="1" s="78"/>
    <row r="178" ht="15.75" customHeight="1" s="78"/>
    <row r="179" ht="15.75" customHeight="1" s="78"/>
    <row r="180" ht="15.75" customHeight="1" s="78"/>
    <row r="181" ht="15.75" customHeight="1" s="78"/>
    <row r="182" ht="15.75" customHeight="1" s="78"/>
    <row r="183" ht="15.75" customHeight="1" s="78"/>
    <row r="184" ht="15.75" customHeight="1" s="78"/>
    <row r="185" ht="15.75" customHeight="1" s="78"/>
    <row r="186" ht="15.75" customHeight="1" s="78"/>
    <row r="187" ht="15.75" customHeight="1" s="78"/>
    <row r="188" ht="15.75" customHeight="1" s="78"/>
    <row r="189" ht="15.75" customHeight="1" s="78"/>
    <row r="190" ht="15.75" customHeight="1" s="78"/>
    <row r="191" ht="15.75" customHeight="1" s="78"/>
    <row r="192" ht="15.75" customHeight="1" s="78"/>
    <row r="193" ht="15.75" customHeight="1" s="78"/>
    <row r="194" ht="15.75" customHeight="1" s="78"/>
    <row r="195" ht="15.75" customHeight="1" s="78"/>
    <row r="196" ht="15.75" customHeight="1" s="78"/>
    <row r="197" ht="15.75" customHeight="1" s="78"/>
    <row r="198" ht="15.75" customHeight="1" s="78"/>
    <row r="199" ht="15.75" customHeight="1" s="78"/>
    <row r="200" ht="15.75" customHeight="1" s="78"/>
    <row r="201" ht="15.75" customHeight="1" s="78"/>
    <row r="202" ht="15.75" customHeight="1" s="78"/>
    <row r="203" ht="15.75" customHeight="1" s="78"/>
    <row r="204" ht="15.75" customHeight="1" s="78"/>
    <row r="205" ht="15.75" customHeight="1" s="78"/>
    <row r="206" ht="15.75" customHeight="1" s="78"/>
    <row r="207" ht="15.75" customHeight="1" s="78"/>
    <row r="208" ht="15.75" customHeight="1" s="78"/>
    <row r="209" ht="15.75" customHeight="1" s="78"/>
    <row r="210" ht="15.75" customHeight="1" s="78"/>
    <row r="211" ht="15.75" customHeight="1" s="78"/>
    <row r="212" ht="15.75" customHeight="1" s="78"/>
    <row r="213" ht="15.75" customHeight="1" s="78"/>
    <row r="214" ht="15.75" customHeight="1" s="78"/>
    <row r="215" ht="15.75" customHeight="1" s="78"/>
    <row r="216" ht="15.75" customHeight="1" s="78"/>
    <row r="217" ht="15.75" customHeight="1" s="78"/>
    <row r="218" ht="15.75" customHeight="1" s="78"/>
    <row r="219" ht="15.75" customHeight="1" s="78"/>
    <row r="220" ht="15.75" customHeight="1" s="78"/>
    <row r="221" ht="15.75" customHeight="1" s="78"/>
    <row r="222" ht="15.75" customHeight="1" s="78"/>
    <row r="223" ht="15.75" customHeight="1" s="78"/>
    <row r="224" ht="15.75" customHeight="1" s="78"/>
    <row r="225" ht="15.75" customHeight="1" s="78"/>
    <row r="226" ht="15.75" customHeight="1" s="78"/>
    <row r="227" ht="15.75" customHeight="1" s="78"/>
    <row r="228" ht="15.75" customHeight="1" s="78"/>
    <row r="229" ht="15.75" customHeight="1" s="78"/>
    <row r="230" ht="15.75" customHeight="1" s="78"/>
    <row r="231" ht="15.75" customHeight="1" s="78"/>
    <row r="232" ht="15.75" customHeight="1" s="78"/>
    <row r="233" ht="15.75" customHeight="1" s="78"/>
    <row r="234" ht="15.75" customHeight="1" s="78"/>
    <row r="235" ht="15.75" customHeight="1" s="78"/>
    <row r="236" ht="15.75" customHeight="1" s="78"/>
    <row r="237" ht="15.75" customHeight="1" s="78"/>
    <row r="238" ht="15.75" customHeight="1" s="78"/>
    <row r="239" ht="15.75" customHeight="1" s="78"/>
    <row r="240" ht="15.75" customHeight="1" s="78"/>
    <row r="241" ht="15.75" customHeight="1" s="78"/>
    <row r="242" ht="15.75" customHeight="1" s="78"/>
    <row r="243" ht="15.75" customHeight="1" s="78"/>
    <row r="244" ht="15.75" customHeight="1" s="78"/>
    <row r="245" ht="15.75" customHeight="1" s="78"/>
    <row r="246" ht="15.75" customHeight="1" s="78"/>
    <row r="247" ht="15.75" customHeight="1" s="78"/>
    <row r="248" ht="15.75" customHeight="1" s="78"/>
    <row r="249" ht="15.75" customHeight="1" s="78"/>
    <row r="250" ht="15.75" customHeight="1" s="78"/>
    <row r="251" ht="15.75" customHeight="1" s="78"/>
    <row r="252" ht="15.75" customHeight="1" s="78"/>
    <row r="253" ht="15.75" customHeight="1" s="78"/>
    <row r="254" ht="15.75" customHeight="1" s="78"/>
    <row r="255" ht="15.75" customHeight="1" s="78"/>
    <row r="256" ht="15.75" customHeight="1" s="78"/>
    <row r="257" ht="15.75" customHeight="1" s="78"/>
    <row r="258" ht="15.75" customHeight="1" s="78"/>
    <row r="259" ht="15.75" customHeight="1" s="78"/>
    <row r="260" ht="15.75" customHeight="1" s="78"/>
    <row r="261" ht="15.75" customHeight="1" s="78"/>
    <row r="262" ht="15.75" customHeight="1" s="78"/>
    <row r="263" ht="15.75" customHeight="1" s="78"/>
    <row r="264" ht="15.75" customHeight="1" s="78"/>
    <row r="265" ht="15.75" customHeight="1" s="78"/>
    <row r="266" ht="15.75" customHeight="1" s="78"/>
    <row r="267" ht="15.75" customHeight="1" s="78"/>
    <row r="268" ht="15.75" customHeight="1" s="78"/>
    <row r="269" ht="15.75" customHeight="1" s="78"/>
    <row r="270" ht="15.75" customHeight="1" s="78"/>
    <row r="271" ht="15.75" customHeight="1" s="78"/>
    <row r="272" ht="15.75" customHeight="1" s="78"/>
    <row r="273" ht="15.75" customHeight="1" s="78"/>
    <row r="274" ht="15.75" customHeight="1" s="78"/>
    <row r="275" ht="15.75" customHeight="1" s="78"/>
    <row r="276" ht="15.75" customHeight="1" s="78"/>
    <row r="277" ht="15.75" customHeight="1" s="78"/>
    <row r="278" ht="15.75" customHeight="1" s="78"/>
    <row r="279" ht="15.75" customHeight="1" s="78"/>
    <row r="280" ht="15.75" customHeight="1" s="78"/>
    <row r="281" ht="15.75" customHeight="1" s="78"/>
    <row r="282" ht="15.75" customHeight="1" s="78"/>
    <row r="283" ht="15.75" customHeight="1" s="78"/>
    <row r="284" ht="15.75" customHeight="1" s="78"/>
    <row r="285" ht="15.75" customHeight="1" s="78"/>
    <row r="286" ht="15.75" customHeight="1" s="78"/>
    <row r="287" ht="15.75" customHeight="1" s="78"/>
    <row r="288" ht="15.75" customHeight="1" s="78"/>
    <row r="289" ht="15.75" customHeight="1" s="78"/>
    <row r="290" ht="15.75" customHeight="1" s="78"/>
    <row r="291" ht="15.75" customHeight="1" s="78"/>
    <row r="292" ht="15.75" customHeight="1" s="78"/>
    <row r="293" ht="15.75" customHeight="1" s="78"/>
    <row r="294" ht="15.75" customHeight="1" s="78"/>
    <row r="295" ht="15.75" customHeight="1" s="78"/>
    <row r="296" ht="15.75" customHeight="1" s="78"/>
    <row r="297" ht="15.75" customHeight="1" s="78"/>
    <row r="298" ht="15.75" customHeight="1" s="78"/>
    <row r="299" ht="15.75" customHeight="1" s="78"/>
    <row r="300" ht="15.75" customHeight="1" s="78"/>
    <row r="301" ht="15.75" customHeight="1" s="78"/>
    <row r="302" ht="15.75" customHeight="1" s="78"/>
    <row r="303" ht="15.75" customHeight="1" s="78"/>
    <row r="304" ht="15.75" customHeight="1" s="78"/>
    <row r="305" ht="15.75" customHeight="1" s="78"/>
    <row r="306" ht="15.75" customHeight="1" s="78"/>
    <row r="307" ht="15.75" customHeight="1" s="78"/>
    <row r="308" ht="15.75" customHeight="1" s="78"/>
    <row r="309" ht="15.75" customHeight="1" s="78"/>
    <row r="310" ht="15.75" customHeight="1" s="78"/>
    <row r="311" ht="15.75" customHeight="1" s="78"/>
    <row r="312" ht="15.75" customHeight="1" s="78"/>
    <row r="313" ht="15.75" customHeight="1" s="78"/>
    <row r="314" ht="15.75" customHeight="1" s="78"/>
    <row r="315" ht="15.75" customHeight="1" s="78"/>
    <row r="316" ht="15.75" customHeight="1" s="78"/>
    <row r="317" ht="15.75" customHeight="1" s="78"/>
    <row r="318" ht="15.75" customHeight="1" s="78"/>
    <row r="319" ht="15.75" customHeight="1" s="78"/>
    <row r="320" ht="15.75" customHeight="1" s="78"/>
    <row r="321" ht="15.75" customHeight="1" s="78"/>
    <row r="322" ht="15.75" customHeight="1" s="78"/>
    <row r="323" ht="15.75" customHeight="1" s="78"/>
    <row r="324" ht="15.75" customHeight="1" s="78"/>
    <row r="325" ht="15.75" customHeight="1" s="78"/>
    <row r="326" ht="15.75" customHeight="1" s="78"/>
    <row r="327" ht="15.75" customHeight="1" s="78"/>
    <row r="328" ht="15.75" customHeight="1" s="78"/>
    <row r="329" ht="15.75" customHeight="1" s="78"/>
    <row r="330" ht="15.75" customHeight="1" s="78"/>
    <row r="331" ht="15.75" customHeight="1" s="78"/>
    <row r="332" ht="15.75" customHeight="1" s="78"/>
    <row r="333" ht="15.75" customHeight="1" s="78"/>
    <row r="334" ht="15.75" customHeight="1" s="78"/>
    <row r="335" ht="15.75" customHeight="1" s="78"/>
    <row r="336" ht="15.75" customHeight="1" s="78"/>
    <row r="337" ht="15.75" customHeight="1" s="78"/>
    <row r="338" ht="15.75" customHeight="1" s="78"/>
    <row r="339" ht="15.75" customHeight="1" s="78"/>
    <row r="340" ht="15.75" customHeight="1" s="78"/>
    <row r="341" ht="15.75" customHeight="1" s="78"/>
    <row r="342" ht="15.75" customHeight="1" s="78"/>
    <row r="343" ht="15.75" customHeight="1" s="78"/>
    <row r="344" ht="15.75" customHeight="1" s="78"/>
    <row r="345" ht="15.75" customHeight="1" s="78"/>
    <row r="346" ht="15.75" customHeight="1" s="78"/>
    <row r="347" ht="15.75" customHeight="1" s="78"/>
    <row r="348" ht="15.75" customHeight="1" s="78"/>
    <row r="349" ht="15.75" customHeight="1" s="78"/>
    <row r="350" ht="15.75" customHeight="1" s="78"/>
    <row r="351" ht="15.75" customHeight="1" s="78"/>
    <row r="352" ht="15.75" customHeight="1" s="78"/>
    <row r="353" ht="15.75" customHeight="1" s="78"/>
    <row r="354" ht="15.75" customHeight="1" s="78"/>
    <row r="355" ht="15.75" customHeight="1" s="78"/>
    <row r="356" ht="15.75" customHeight="1" s="78"/>
    <row r="357" ht="15.75" customHeight="1" s="78"/>
    <row r="358" ht="15.75" customHeight="1" s="78"/>
    <row r="359" ht="15.75" customHeight="1" s="78"/>
    <row r="360" ht="15.75" customHeight="1" s="78"/>
    <row r="361" ht="15.75" customHeight="1" s="78"/>
    <row r="362" ht="15.75" customHeight="1" s="78"/>
    <row r="363" ht="15.75" customHeight="1" s="78"/>
    <row r="364" ht="15.75" customHeight="1" s="78"/>
    <row r="365" ht="15.75" customHeight="1" s="78"/>
    <row r="366" ht="15.75" customHeight="1" s="78"/>
    <row r="367" ht="15.75" customHeight="1" s="78"/>
    <row r="368" ht="15.75" customHeight="1" s="78"/>
    <row r="369" ht="15.75" customHeight="1" s="78"/>
    <row r="370" ht="15.75" customHeight="1" s="78"/>
    <row r="371" ht="15.75" customHeight="1" s="78"/>
    <row r="372" ht="15.75" customHeight="1" s="78"/>
    <row r="373" ht="15.75" customHeight="1" s="78"/>
    <row r="374" ht="15.75" customHeight="1" s="78"/>
    <row r="375" ht="15.75" customHeight="1" s="78"/>
    <row r="376" ht="15.75" customHeight="1" s="78"/>
    <row r="377" ht="15.75" customHeight="1" s="78"/>
    <row r="378" ht="15.75" customHeight="1" s="78"/>
    <row r="379" ht="15.75" customHeight="1" s="78"/>
    <row r="380" ht="15.75" customHeight="1" s="78"/>
    <row r="381" ht="15.75" customHeight="1" s="78"/>
    <row r="382" ht="15.75" customHeight="1" s="78"/>
    <row r="383" ht="15.75" customHeight="1" s="78"/>
    <row r="384" ht="15.75" customHeight="1" s="78"/>
    <row r="385" ht="15.75" customHeight="1" s="78"/>
    <row r="386" ht="15.75" customHeight="1" s="78"/>
    <row r="387" ht="15.75" customHeight="1" s="78"/>
    <row r="388" ht="15.75" customHeight="1" s="78"/>
    <row r="389" ht="15.75" customHeight="1" s="78"/>
    <row r="390" ht="15.75" customHeight="1" s="78"/>
    <row r="391" ht="15.75" customHeight="1" s="78"/>
    <row r="392" ht="15.75" customHeight="1" s="78"/>
    <row r="393" ht="15.75" customHeight="1" s="78"/>
    <row r="394" ht="15.75" customHeight="1" s="78"/>
    <row r="395" ht="15.75" customHeight="1" s="78"/>
    <row r="396" ht="15.75" customHeight="1" s="78"/>
    <row r="397" ht="15.75" customHeight="1" s="78"/>
    <row r="398" ht="15.75" customHeight="1" s="78"/>
    <row r="399" ht="15.75" customHeight="1" s="78"/>
    <row r="400" ht="15.75" customHeight="1" s="78"/>
    <row r="401" ht="15.75" customHeight="1" s="78"/>
    <row r="402" ht="15.75" customHeight="1" s="78"/>
    <row r="403" ht="15.75" customHeight="1" s="78"/>
    <row r="404" ht="15.75" customHeight="1" s="78"/>
    <row r="405" ht="15.75" customHeight="1" s="78"/>
    <row r="406" ht="15.75" customHeight="1" s="78"/>
    <row r="407" ht="15.75" customHeight="1" s="78"/>
    <row r="408" ht="15.75" customHeight="1" s="78"/>
    <row r="409" ht="15.75" customHeight="1" s="78"/>
    <row r="410" ht="15.75" customHeight="1" s="78"/>
    <row r="411" ht="15.75" customHeight="1" s="78"/>
    <row r="412" ht="15.75" customHeight="1" s="78"/>
    <row r="413" ht="15.75" customHeight="1" s="78"/>
    <row r="414" ht="15.75" customHeight="1" s="78"/>
    <row r="415" ht="15.75" customHeight="1" s="78"/>
    <row r="416" ht="15.75" customHeight="1" s="78"/>
    <row r="417" ht="15.75" customHeight="1" s="78"/>
    <row r="418" ht="15.75" customHeight="1" s="78"/>
    <row r="419" ht="15.75" customHeight="1" s="78"/>
    <row r="420" ht="15.75" customHeight="1" s="78"/>
    <row r="421" ht="15.75" customHeight="1" s="78"/>
    <row r="422" ht="15.75" customHeight="1" s="78"/>
    <row r="423" ht="15.75" customHeight="1" s="78"/>
    <row r="424" ht="15.75" customHeight="1" s="78"/>
    <row r="425" ht="15.75" customHeight="1" s="78"/>
    <row r="426" ht="15.75" customHeight="1" s="78"/>
    <row r="427" ht="15.75" customHeight="1" s="78"/>
    <row r="428" ht="15.75" customHeight="1" s="78"/>
    <row r="429" ht="15.75" customHeight="1" s="78"/>
    <row r="430" ht="15.75" customHeight="1" s="78"/>
    <row r="431" ht="15.75" customHeight="1" s="78"/>
    <row r="432" ht="15.75" customHeight="1" s="78"/>
    <row r="433" ht="15.75" customHeight="1" s="78"/>
    <row r="434" ht="15.75" customHeight="1" s="78"/>
    <row r="435" ht="15.75" customHeight="1" s="78"/>
    <row r="436" ht="15.75" customHeight="1" s="78"/>
    <row r="437" ht="15.75" customHeight="1" s="78"/>
    <row r="438" ht="15.75" customHeight="1" s="78"/>
    <row r="439" ht="15.75" customHeight="1" s="78"/>
    <row r="440" ht="15.75" customHeight="1" s="78"/>
    <row r="441" ht="15.75" customHeight="1" s="78"/>
    <row r="442" ht="15.75" customHeight="1" s="78"/>
    <row r="443" ht="15.75" customHeight="1" s="78"/>
    <row r="444" ht="15.75" customHeight="1" s="78"/>
    <row r="445" ht="15.75" customHeight="1" s="78"/>
    <row r="446" ht="15.75" customHeight="1" s="78"/>
    <row r="447" ht="15.75" customHeight="1" s="78"/>
    <row r="448" ht="15.75" customHeight="1" s="78"/>
    <row r="449" ht="15.75" customHeight="1" s="78"/>
    <row r="450" ht="15.75" customHeight="1" s="78"/>
    <row r="451" ht="15.75" customHeight="1" s="78"/>
    <row r="452" ht="15.75" customHeight="1" s="78"/>
    <row r="453" ht="15.75" customHeight="1" s="78"/>
    <row r="454" ht="15.75" customHeight="1" s="78"/>
    <row r="455" ht="15.75" customHeight="1" s="78"/>
    <row r="456" ht="15.75" customHeight="1" s="78"/>
    <row r="457" ht="15.75" customHeight="1" s="78"/>
    <row r="458" ht="15.75" customHeight="1" s="78"/>
    <row r="459" ht="15.75" customHeight="1" s="78"/>
    <row r="460" ht="15.75" customHeight="1" s="78"/>
    <row r="461" ht="15.75" customHeight="1" s="78"/>
    <row r="462" ht="15.75" customHeight="1" s="78"/>
    <row r="463" ht="15.75" customHeight="1" s="78"/>
    <row r="464" ht="15.75" customHeight="1" s="78"/>
    <row r="465" ht="15.75" customHeight="1" s="78"/>
    <row r="466" ht="15.75" customHeight="1" s="78"/>
    <row r="467" ht="15.75" customHeight="1" s="78"/>
    <row r="468" ht="15.75" customHeight="1" s="78"/>
    <row r="469" ht="15.75" customHeight="1" s="78"/>
    <row r="470" ht="15.75" customHeight="1" s="78"/>
    <row r="471" ht="15.75" customHeight="1" s="78"/>
    <row r="472" ht="15.75" customHeight="1" s="78"/>
    <row r="473" ht="15.75" customHeight="1" s="78"/>
    <row r="474" ht="15.75" customHeight="1" s="78"/>
    <row r="475" ht="15.75" customHeight="1" s="78"/>
    <row r="476" ht="15.75" customHeight="1" s="78"/>
    <row r="477" ht="15.75" customHeight="1" s="78"/>
    <row r="478" ht="15.75" customHeight="1" s="78"/>
    <row r="479" ht="15.75" customHeight="1" s="78"/>
    <row r="480" ht="15.75" customHeight="1" s="78"/>
    <row r="481" ht="15.75" customHeight="1" s="78"/>
    <row r="482" ht="15.75" customHeight="1" s="78"/>
    <row r="483" ht="15.75" customHeight="1" s="78"/>
    <row r="484" ht="15.75" customHeight="1" s="78"/>
    <row r="485" ht="15.75" customHeight="1" s="78"/>
    <row r="486" ht="15.75" customHeight="1" s="78"/>
    <row r="487" ht="15.75" customHeight="1" s="78"/>
    <row r="488" ht="15.75" customHeight="1" s="78"/>
    <row r="489" ht="15.75" customHeight="1" s="78"/>
    <row r="490" ht="15.75" customHeight="1" s="78"/>
    <row r="491" ht="15.75" customHeight="1" s="78"/>
    <row r="492" ht="15.75" customHeight="1" s="78"/>
    <row r="493" ht="15.75" customHeight="1" s="78"/>
    <row r="494" ht="15.75" customHeight="1" s="78"/>
    <row r="495" ht="15.75" customHeight="1" s="78"/>
    <row r="496" ht="15.75" customHeight="1" s="78"/>
    <row r="497" ht="15.75" customHeight="1" s="78"/>
    <row r="498" ht="15.75" customHeight="1" s="78"/>
    <row r="499" ht="15.75" customHeight="1" s="78"/>
    <row r="500" ht="15.75" customHeight="1" s="78"/>
    <row r="501" ht="15.75" customHeight="1" s="78"/>
    <row r="502" ht="15.75" customHeight="1" s="78"/>
    <row r="503" ht="15.75" customHeight="1" s="78"/>
    <row r="504" ht="15.75" customHeight="1" s="78"/>
    <row r="505" ht="15.75" customHeight="1" s="78"/>
    <row r="506" ht="15.75" customHeight="1" s="78"/>
    <row r="507" ht="15.75" customHeight="1" s="78"/>
    <row r="508" ht="15.75" customHeight="1" s="78"/>
    <row r="509" ht="15.75" customHeight="1" s="78"/>
    <row r="510" ht="15.75" customHeight="1" s="78"/>
    <row r="511" ht="15.75" customHeight="1" s="78"/>
    <row r="512" ht="15.75" customHeight="1" s="78"/>
    <row r="513" ht="15.75" customHeight="1" s="78"/>
    <row r="514" ht="15.75" customHeight="1" s="78"/>
    <row r="515" ht="15.75" customHeight="1" s="78"/>
    <row r="516" ht="15.75" customHeight="1" s="78"/>
    <row r="517" ht="15.75" customHeight="1" s="78"/>
    <row r="518" ht="15.75" customHeight="1" s="78"/>
    <row r="519" ht="15.75" customHeight="1" s="78"/>
    <row r="520" ht="15.75" customHeight="1" s="78"/>
    <row r="521" ht="15.75" customHeight="1" s="78"/>
    <row r="522" ht="15.75" customHeight="1" s="78"/>
    <row r="523" ht="15.75" customHeight="1" s="78"/>
    <row r="524" ht="15.75" customHeight="1" s="78"/>
    <row r="525" ht="15.75" customHeight="1" s="78"/>
    <row r="526" ht="15.75" customHeight="1" s="78"/>
    <row r="527" ht="15.75" customHeight="1" s="78"/>
    <row r="528" ht="15.75" customHeight="1" s="78"/>
    <row r="529" ht="15.75" customHeight="1" s="78"/>
    <row r="530" ht="15.75" customHeight="1" s="78"/>
    <row r="531" ht="15.75" customHeight="1" s="78"/>
    <row r="532" ht="15.75" customHeight="1" s="78"/>
    <row r="533" ht="15.75" customHeight="1" s="78"/>
    <row r="534" ht="15.75" customHeight="1" s="78"/>
    <row r="535" ht="15.75" customHeight="1" s="78"/>
    <row r="536" ht="15.75" customHeight="1" s="78"/>
    <row r="537" ht="15.75" customHeight="1" s="78"/>
    <row r="538" ht="15.75" customHeight="1" s="78"/>
    <row r="539" ht="15.75" customHeight="1" s="78"/>
    <row r="540" ht="15.75" customHeight="1" s="78"/>
    <row r="541" ht="15.75" customHeight="1" s="78"/>
    <row r="542" ht="15.75" customHeight="1" s="78"/>
    <row r="543" ht="15.75" customHeight="1" s="78"/>
    <row r="544" ht="15.75" customHeight="1" s="78"/>
    <row r="545" ht="15.75" customHeight="1" s="78"/>
    <row r="546" ht="15.75" customHeight="1" s="78"/>
    <row r="547" ht="15.75" customHeight="1" s="78"/>
    <row r="548" ht="15.75" customHeight="1" s="78"/>
    <row r="549" ht="15.75" customHeight="1" s="78"/>
    <row r="550" ht="15.75" customHeight="1" s="78"/>
    <row r="551" ht="15.75" customHeight="1" s="78"/>
    <row r="552" ht="15.75" customHeight="1" s="78"/>
    <row r="553" ht="15.75" customHeight="1" s="78"/>
    <row r="554" ht="15.75" customHeight="1" s="78"/>
    <row r="555" ht="15.75" customHeight="1" s="78"/>
    <row r="556" ht="15.75" customHeight="1" s="78"/>
    <row r="557" ht="15.75" customHeight="1" s="78"/>
    <row r="558" ht="15.75" customHeight="1" s="78"/>
    <row r="559" ht="15.75" customHeight="1" s="78"/>
    <row r="560" ht="15.75" customHeight="1" s="78"/>
    <row r="561" ht="15.75" customHeight="1" s="78"/>
    <row r="562" ht="15.75" customHeight="1" s="78"/>
    <row r="563" ht="15.75" customHeight="1" s="78"/>
    <row r="564" ht="15.75" customHeight="1" s="78"/>
    <row r="565" ht="15.75" customHeight="1" s="78"/>
    <row r="566" ht="15.75" customHeight="1" s="78"/>
    <row r="567" ht="15.75" customHeight="1" s="78"/>
    <row r="568" ht="15.75" customHeight="1" s="78"/>
    <row r="569" ht="15.75" customHeight="1" s="78"/>
    <row r="570" ht="15.75" customHeight="1" s="78"/>
    <row r="571" ht="15.75" customHeight="1" s="78"/>
    <row r="572" ht="15.75" customHeight="1" s="78"/>
    <row r="573" ht="15.75" customHeight="1" s="78"/>
    <row r="574" ht="15.75" customHeight="1" s="78"/>
    <row r="575" ht="15.75" customHeight="1" s="78"/>
    <row r="576" ht="15.75" customHeight="1" s="78"/>
    <row r="577" ht="15.75" customHeight="1" s="78"/>
    <row r="578" ht="15.75" customHeight="1" s="78"/>
    <row r="579" ht="15.75" customHeight="1" s="78"/>
    <row r="580" ht="15.75" customHeight="1" s="78"/>
    <row r="581" ht="15.75" customHeight="1" s="78"/>
    <row r="582" ht="15.75" customHeight="1" s="78"/>
    <row r="583" ht="15.75" customHeight="1" s="78"/>
    <row r="584" ht="15.75" customHeight="1" s="78"/>
    <row r="585" ht="15.75" customHeight="1" s="78"/>
    <row r="586" ht="15.75" customHeight="1" s="78"/>
    <row r="587" ht="15.75" customHeight="1" s="78"/>
    <row r="588" ht="15.75" customHeight="1" s="78"/>
    <row r="589" ht="15.75" customHeight="1" s="78"/>
    <row r="590" ht="15.75" customHeight="1" s="78"/>
    <row r="591" ht="15.75" customHeight="1" s="78"/>
    <row r="592" ht="15.75" customHeight="1" s="78"/>
    <row r="593" ht="15.75" customHeight="1" s="78"/>
    <row r="594" ht="15.75" customHeight="1" s="78"/>
    <row r="595" ht="15.75" customHeight="1" s="78"/>
    <row r="596" ht="15.75" customHeight="1" s="78"/>
    <row r="597" ht="15.75" customHeight="1" s="78"/>
    <row r="598" ht="15.75" customHeight="1" s="78"/>
    <row r="599" ht="15.75" customHeight="1" s="78"/>
    <row r="600" ht="15.75" customHeight="1" s="78"/>
    <row r="601" ht="15.75" customHeight="1" s="78"/>
    <row r="602" ht="15.75" customHeight="1" s="78"/>
    <row r="603" ht="15.75" customHeight="1" s="78"/>
    <row r="604" ht="15.75" customHeight="1" s="78"/>
    <row r="605" ht="15.75" customHeight="1" s="78"/>
    <row r="606" ht="15.75" customHeight="1" s="78"/>
    <row r="607" ht="15.75" customHeight="1" s="78"/>
    <row r="608" ht="15.75" customHeight="1" s="78"/>
    <row r="609" ht="15.75" customHeight="1" s="78"/>
    <row r="610" ht="15.75" customHeight="1" s="78"/>
    <row r="611" ht="15.75" customHeight="1" s="78"/>
    <row r="612" ht="15.75" customHeight="1" s="78"/>
    <row r="613" ht="15.75" customHeight="1" s="78"/>
    <row r="614" ht="15.75" customHeight="1" s="78"/>
    <row r="615" ht="15.75" customHeight="1" s="78"/>
    <row r="616" ht="15.75" customHeight="1" s="78"/>
    <row r="617" ht="15.75" customHeight="1" s="78"/>
    <row r="618" ht="15.75" customHeight="1" s="78"/>
    <row r="619" ht="15.75" customHeight="1" s="78"/>
    <row r="620" ht="15.75" customHeight="1" s="78"/>
    <row r="621" ht="15.75" customHeight="1" s="78"/>
    <row r="622" ht="15.75" customHeight="1" s="78"/>
    <row r="623" ht="15.75" customHeight="1" s="78"/>
    <row r="624" ht="15.75" customHeight="1" s="78"/>
    <row r="625" ht="15.75" customHeight="1" s="78"/>
    <row r="626" ht="15.75" customHeight="1" s="78"/>
    <row r="627" ht="15.75" customHeight="1" s="78"/>
    <row r="628" ht="15.75" customHeight="1" s="78"/>
    <row r="629" ht="15.75" customHeight="1" s="78"/>
    <row r="630" ht="15.75" customHeight="1" s="78"/>
    <row r="631" ht="15.75" customHeight="1" s="78"/>
    <row r="632" ht="15.75" customHeight="1" s="78"/>
    <row r="633" ht="15.75" customHeight="1" s="78"/>
    <row r="634" ht="15.75" customHeight="1" s="78"/>
    <row r="635" ht="15.75" customHeight="1" s="78"/>
    <row r="636" ht="15.75" customHeight="1" s="78"/>
    <row r="637" ht="15.75" customHeight="1" s="78"/>
    <row r="638" ht="15.75" customHeight="1" s="78"/>
    <row r="639" ht="15.75" customHeight="1" s="78"/>
    <row r="640" ht="15.75" customHeight="1" s="78"/>
    <row r="641" ht="15.75" customHeight="1" s="78"/>
    <row r="642" ht="15.75" customHeight="1" s="78"/>
    <row r="643" ht="15.75" customHeight="1" s="78"/>
    <row r="644" ht="15.75" customHeight="1" s="78"/>
    <row r="645" ht="15.75" customHeight="1" s="78"/>
    <row r="646" ht="15.75" customHeight="1" s="78"/>
    <row r="647" ht="15.75" customHeight="1" s="78"/>
    <row r="648" ht="15.75" customHeight="1" s="78"/>
    <row r="649" ht="15.75" customHeight="1" s="78"/>
    <row r="650" ht="15.75" customHeight="1" s="78"/>
    <row r="651" ht="15.75" customHeight="1" s="78"/>
    <row r="652" ht="15.75" customHeight="1" s="78"/>
    <row r="653" ht="15.75" customHeight="1" s="78"/>
    <row r="654" ht="15.75" customHeight="1" s="78"/>
    <row r="655" ht="15.75" customHeight="1" s="78"/>
    <row r="656" ht="15.75" customHeight="1" s="78"/>
    <row r="657" ht="15.75" customHeight="1" s="78"/>
    <row r="658" ht="15.75" customHeight="1" s="78"/>
    <row r="659" ht="15.75" customHeight="1" s="78"/>
    <row r="660" ht="15.75" customHeight="1" s="78"/>
    <row r="661" ht="15.75" customHeight="1" s="78"/>
    <row r="662" ht="15.75" customHeight="1" s="78"/>
    <row r="663" ht="15.75" customHeight="1" s="78"/>
    <row r="664" ht="15.75" customHeight="1" s="78"/>
    <row r="665" ht="15.75" customHeight="1" s="78"/>
    <row r="666" ht="15.75" customHeight="1" s="78"/>
    <row r="667" ht="15.75" customHeight="1" s="78"/>
    <row r="668" ht="15.75" customHeight="1" s="78"/>
    <row r="669" ht="15.75" customHeight="1" s="78"/>
    <row r="670" ht="15.75" customHeight="1" s="78"/>
    <row r="671" ht="15.75" customHeight="1" s="78"/>
    <row r="672" ht="15.75" customHeight="1" s="78"/>
    <row r="673" ht="15.75" customHeight="1" s="78"/>
    <row r="674" ht="15.75" customHeight="1" s="78"/>
    <row r="675" ht="15.75" customHeight="1" s="78"/>
    <row r="676" ht="15.75" customHeight="1" s="78"/>
    <row r="677" ht="15.75" customHeight="1" s="78"/>
    <row r="678" ht="15.75" customHeight="1" s="78"/>
    <row r="679" ht="15.75" customHeight="1" s="78"/>
    <row r="680" ht="15.75" customHeight="1" s="78"/>
    <row r="681" ht="15.75" customHeight="1" s="78"/>
    <row r="682" ht="15.75" customHeight="1" s="78"/>
    <row r="683" ht="15.75" customHeight="1" s="78"/>
    <row r="684" ht="15.75" customHeight="1" s="78"/>
    <row r="685" ht="15.75" customHeight="1" s="78"/>
    <row r="686" ht="15.75" customHeight="1" s="78"/>
    <row r="687" ht="15.75" customHeight="1" s="78"/>
    <row r="688" ht="15.75" customHeight="1" s="78"/>
    <row r="689" ht="15.75" customHeight="1" s="78"/>
    <row r="690" ht="15.75" customHeight="1" s="78"/>
    <row r="691" ht="15.75" customHeight="1" s="78"/>
    <row r="692" ht="15.75" customHeight="1" s="78"/>
    <row r="693" ht="15.75" customHeight="1" s="78"/>
    <row r="694" ht="15.75" customHeight="1" s="78"/>
    <row r="695" ht="15.75" customHeight="1" s="78"/>
    <row r="696" ht="15.75" customHeight="1" s="78"/>
    <row r="697" ht="15.75" customHeight="1" s="78"/>
    <row r="698" ht="15.75" customHeight="1" s="78"/>
    <row r="699" ht="15.75" customHeight="1" s="78"/>
    <row r="700" ht="15.75" customHeight="1" s="78"/>
    <row r="701" ht="15.75" customHeight="1" s="78"/>
    <row r="702" ht="15.75" customHeight="1" s="78"/>
    <row r="703" ht="15.75" customHeight="1" s="78"/>
    <row r="704" ht="15.75" customHeight="1" s="78"/>
    <row r="705" ht="15.75" customHeight="1" s="78"/>
    <row r="706" ht="15.75" customHeight="1" s="78"/>
    <row r="707" ht="15.75" customHeight="1" s="78"/>
    <row r="708" ht="15.75" customHeight="1" s="78"/>
    <row r="709" ht="15.75" customHeight="1" s="78"/>
    <row r="710" ht="15.75" customHeight="1" s="78"/>
    <row r="711" ht="15.75" customHeight="1" s="78"/>
    <row r="712" ht="15.75" customHeight="1" s="78"/>
    <row r="713" ht="15.75" customHeight="1" s="78"/>
    <row r="714" ht="15.75" customHeight="1" s="78"/>
    <row r="715" ht="15.75" customHeight="1" s="78"/>
    <row r="716" ht="15.75" customHeight="1" s="78"/>
    <row r="717" ht="15.75" customHeight="1" s="78"/>
    <row r="718" ht="15.75" customHeight="1" s="78"/>
    <row r="719" ht="15.75" customHeight="1" s="78"/>
    <row r="720" ht="15.75" customHeight="1" s="78"/>
    <row r="721" ht="15.75" customHeight="1" s="78"/>
    <row r="722" ht="15.75" customHeight="1" s="78"/>
    <row r="723" ht="15.75" customHeight="1" s="78"/>
    <row r="724" ht="15.75" customHeight="1" s="78"/>
    <row r="725" ht="15.75" customHeight="1" s="78"/>
    <row r="726" ht="15.75" customHeight="1" s="78"/>
    <row r="727" ht="15.75" customHeight="1" s="78"/>
    <row r="728" ht="15.75" customHeight="1" s="78"/>
    <row r="729" ht="15.75" customHeight="1" s="78"/>
    <row r="730" ht="15.75" customHeight="1" s="78"/>
    <row r="731" ht="15.75" customHeight="1" s="78"/>
    <row r="732" ht="15.75" customHeight="1" s="78"/>
    <row r="733" ht="15.75" customHeight="1" s="78"/>
    <row r="734" ht="15.75" customHeight="1" s="78"/>
    <row r="735" ht="15.75" customHeight="1" s="78"/>
    <row r="736" ht="15.75" customHeight="1" s="78"/>
    <row r="737" ht="15.75" customHeight="1" s="78"/>
    <row r="738" ht="15.75" customHeight="1" s="78"/>
    <row r="739" ht="15.75" customHeight="1" s="78"/>
    <row r="740" ht="15.75" customHeight="1" s="78"/>
    <row r="741" ht="15.75" customHeight="1" s="78"/>
    <row r="742" ht="15.75" customHeight="1" s="78"/>
    <row r="743" ht="15.75" customHeight="1" s="78"/>
    <row r="744" ht="15.75" customHeight="1" s="78"/>
    <row r="745" ht="15.75" customHeight="1" s="78"/>
    <row r="746" ht="15.75" customHeight="1" s="78"/>
    <row r="747" ht="15.75" customHeight="1" s="78"/>
    <row r="748" ht="15.75" customHeight="1" s="78"/>
    <row r="749" ht="15.75" customHeight="1" s="78"/>
    <row r="750" ht="15.75" customHeight="1" s="78"/>
    <row r="751" ht="15.75" customHeight="1" s="78"/>
    <row r="752" ht="15.75" customHeight="1" s="78"/>
    <row r="753" ht="15.75" customHeight="1" s="78"/>
    <row r="754" ht="15.75" customHeight="1" s="78"/>
    <row r="755" ht="15.75" customHeight="1" s="78"/>
    <row r="756" ht="15.75" customHeight="1" s="78"/>
    <row r="757" ht="15.75" customHeight="1" s="78"/>
    <row r="758" ht="15.75" customHeight="1" s="78"/>
    <row r="759" ht="15.75" customHeight="1" s="78"/>
    <row r="760" ht="15.75" customHeight="1" s="78"/>
    <row r="761" ht="15.75" customHeight="1" s="78"/>
    <row r="762" ht="15.75" customHeight="1" s="78"/>
    <row r="763" ht="15.75" customHeight="1" s="78"/>
    <row r="764" ht="15.75" customHeight="1" s="78"/>
    <row r="765" ht="15.75" customHeight="1" s="78"/>
    <row r="766" ht="15.75" customHeight="1" s="78"/>
    <row r="767" ht="15.75" customHeight="1" s="78"/>
    <row r="768" ht="15.75" customHeight="1" s="78"/>
    <row r="769" ht="15.75" customHeight="1" s="78"/>
    <row r="770" ht="15.75" customHeight="1" s="78"/>
    <row r="771" ht="15.75" customHeight="1" s="78"/>
    <row r="772" ht="15.75" customHeight="1" s="78"/>
    <row r="773" ht="15.75" customHeight="1" s="78"/>
    <row r="774" ht="15.75" customHeight="1" s="78"/>
    <row r="775" ht="15.75" customHeight="1" s="78"/>
    <row r="776" ht="15.75" customHeight="1" s="78"/>
    <row r="777" ht="15.75" customHeight="1" s="78"/>
    <row r="778" ht="15.75" customHeight="1" s="78"/>
    <row r="779" ht="15.75" customHeight="1" s="78"/>
    <row r="780" ht="15.75" customHeight="1" s="78"/>
    <row r="781" ht="15.75" customHeight="1" s="78"/>
    <row r="782" ht="15.75" customHeight="1" s="78"/>
    <row r="783" ht="15.75" customHeight="1" s="78"/>
    <row r="784" ht="15.75" customHeight="1" s="78"/>
    <row r="785" ht="15.75" customHeight="1" s="78"/>
    <row r="786" ht="15.75" customHeight="1" s="78"/>
    <row r="787" ht="15.75" customHeight="1" s="78"/>
    <row r="788" ht="15.75" customHeight="1" s="78"/>
    <row r="789" ht="15.75" customHeight="1" s="78"/>
    <row r="790" ht="15.75" customHeight="1" s="78"/>
    <row r="791" ht="15.75" customHeight="1" s="78"/>
    <row r="792" ht="15.75" customHeight="1" s="78"/>
    <row r="793" ht="15.75" customHeight="1" s="78"/>
    <row r="794" ht="15.75" customHeight="1" s="78"/>
    <row r="795" ht="15.75" customHeight="1" s="78"/>
    <row r="796" ht="15.75" customHeight="1" s="78"/>
    <row r="797" ht="15.75" customHeight="1" s="78"/>
    <row r="798" ht="15.75" customHeight="1" s="78"/>
    <row r="799" ht="15.75" customHeight="1" s="78"/>
    <row r="800" ht="15.75" customHeight="1" s="78"/>
    <row r="801" ht="15.75" customHeight="1" s="78"/>
    <row r="802" ht="15.75" customHeight="1" s="78"/>
    <row r="803" ht="15.75" customHeight="1" s="78"/>
    <row r="804" ht="15.75" customHeight="1" s="78"/>
    <row r="805" ht="15.75" customHeight="1" s="78"/>
    <row r="806" ht="15.75" customHeight="1" s="78"/>
    <row r="807" ht="15.75" customHeight="1" s="78"/>
    <row r="808" ht="15.75" customHeight="1" s="78"/>
    <row r="809" ht="15.75" customHeight="1" s="78"/>
    <row r="810" ht="15.75" customHeight="1" s="78"/>
    <row r="811" ht="15.75" customHeight="1" s="78"/>
    <row r="812" ht="15.75" customHeight="1" s="78"/>
    <row r="813" ht="15.75" customHeight="1" s="78"/>
    <row r="814" ht="15.75" customHeight="1" s="78"/>
    <row r="815" ht="15.75" customHeight="1" s="78"/>
    <row r="816" ht="15.75" customHeight="1" s="78"/>
    <row r="817" ht="15.75" customHeight="1" s="78"/>
    <row r="818" ht="15.75" customHeight="1" s="78"/>
    <row r="819" ht="15.75" customHeight="1" s="78"/>
    <row r="820" ht="15.75" customHeight="1" s="78"/>
    <row r="821" ht="15.75" customHeight="1" s="78"/>
    <row r="822" ht="15.75" customHeight="1" s="78"/>
    <row r="823" ht="15.75" customHeight="1" s="78"/>
    <row r="824" ht="15.75" customHeight="1" s="78"/>
    <row r="825" ht="15.75" customHeight="1" s="78"/>
    <row r="826" ht="15.75" customHeight="1" s="78"/>
    <row r="827" ht="15.75" customHeight="1" s="78"/>
    <row r="828" ht="15.75" customHeight="1" s="78"/>
    <row r="829" ht="15.75" customHeight="1" s="78"/>
    <row r="830" ht="15.75" customHeight="1" s="78"/>
    <row r="831" ht="15.75" customHeight="1" s="78"/>
    <row r="832" ht="15.75" customHeight="1" s="78"/>
    <row r="833" ht="15.75" customHeight="1" s="78"/>
    <row r="834" ht="15.75" customHeight="1" s="78"/>
    <row r="835" ht="15.75" customHeight="1" s="78"/>
    <row r="836" ht="15.75" customHeight="1" s="78"/>
    <row r="837" ht="15.75" customHeight="1" s="78"/>
    <row r="838" ht="15.75" customHeight="1" s="78"/>
    <row r="839" ht="15.75" customHeight="1" s="78"/>
    <row r="840" ht="15.75" customHeight="1" s="78"/>
    <row r="841" ht="15.75" customHeight="1" s="78"/>
    <row r="842" ht="15.75" customHeight="1" s="78"/>
    <row r="843" ht="15.75" customHeight="1" s="78"/>
    <row r="844" ht="15.75" customHeight="1" s="78"/>
    <row r="845" ht="15.75" customHeight="1" s="78"/>
    <row r="846" ht="15.75" customHeight="1" s="78"/>
    <row r="847" ht="15.75" customHeight="1" s="78"/>
    <row r="848" ht="15.75" customHeight="1" s="78"/>
    <row r="849" ht="15.75" customHeight="1" s="78"/>
    <row r="850" ht="15.75" customHeight="1" s="78"/>
    <row r="851" ht="15.75" customHeight="1" s="78"/>
    <row r="852" ht="15.75" customHeight="1" s="78"/>
    <row r="853" ht="15.75" customHeight="1" s="78"/>
    <row r="854" ht="15.75" customHeight="1" s="78"/>
    <row r="855" ht="15.75" customHeight="1" s="78"/>
    <row r="856" ht="15.75" customHeight="1" s="78"/>
    <row r="857" ht="15.75" customHeight="1" s="78"/>
    <row r="858" ht="15.75" customHeight="1" s="78"/>
    <row r="859" ht="15.75" customHeight="1" s="78"/>
    <row r="860" ht="15.75" customHeight="1" s="78"/>
    <row r="861" ht="15.75" customHeight="1" s="78"/>
    <row r="862" ht="15.75" customHeight="1" s="78"/>
    <row r="863" ht="15.75" customHeight="1" s="78"/>
    <row r="864" ht="15.75" customHeight="1" s="78"/>
    <row r="865" ht="15.75" customHeight="1" s="78"/>
    <row r="866" ht="15.75" customHeight="1" s="78"/>
    <row r="867" ht="15.75" customHeight="1" s="78"/>
    <row r="868" ht="15.75" customHeight="1" s="78"/>
    <row r="869" ht="15.75" customHeight="1" s="78"/>
    <row r="870" ht="15.75" customHeight="1" s="78"/>
    <row r="871" ht="15.75" customHeight="1" s="78"/>
    <row r="872" ht="15.75" customHeight="1" s="78"/>
    <row r="873" ht="15.75" customHeight="1" s="78"/>
    <row r="874" ht="15.75" customHeight="1" s="78"/>
    <row r="875" ht="15.75" customHeight="1" s="78"/>
    <row r="876" ht="15.75" customHeight="1" s="78"/>
    <row r="877" ht="15.75" customHeight="1" s="78"/>
    <row r="878" ht="15.75" customHeight="1" s="78"/>
    <row r="879" ht="15.75" customHeight="1" s="78"/>
    <row r="880" ht="15.75" customHeight="1" s="78"/>
    <row r="881" ht="15.75" customHeight="1" s="78"/>
    <row r="882" ht="15.75" customHeight="1" s="78"/>
    <row r="883" ht="15.75" customHeight="1" s="78"/>
    <row r="884" ht="15.75" customHeight="1" s="78"/>
    <row r="885" ht="15.75" customHeight="1" s="78"/>
    <row r="886" ht="15.75" customHeight="1" s="78"/>
    <row r="887" ht="15.75" customHeight="1" s="78"/>
    <row r="888" ht="15.75" customHeight="1" s="78"/>
    <row r="889" ht="15.75" customHeight="1" s="78"/>
    <row r="890" ht="15.75" customHeight="1" s="78"/>
    <row r="891" ht="15.75" customHeight="1" s="78"/>
    <row r="892" ht="15.75" customHeight="1" s="78"/>
    <row r="893" ht="15.75" customHeight="1" s="78"/>
    <row r="894" ht="15.75" customHeight="1" s="78"/>
    <row r="895" ht="15.75" customHeight="1" s="78"/>
    <row r="896" ht="15.75" customHeight="1" s="78"/>
    <row r="897" ht="15.75" customHeight="1" s="78"/>
    <row r="898" ht="15.75" customHeight="1" s="78"/>
    <row r="899" ht="15.75" customHeight="1" s="78"/>
    <row r="900" ht="15.75" customHeight="1" s="78"/>
    <row r="901" ht="15.75" customHeight="1" s="78"/>
    <row r="902" ht="15.75" customHeight="1" s="78"/>
    <row r="903" ht="15.75" customHeight="1" s="78"/>
    <row r="904" ht="15.75" customHeight="1" s="78"/>
    <row r="905" ht="15.75" customHeight="1" s="78"/>
    <row r="906" ht="15.75" customHeight="1" s="78"/>
    <row r="907" ht="15.75" customHeight="1" s="78"/>
    <row r="908" ht="15.75" customHeight="1" s="78"/>
    <row r="909" ht="15.75" customHeight="1" s="78"/>
    <row r="910" ht="15.75" customHeight="1" s="78"/>
    <row r="911" ht="15.75" customHeight="1" s="78"/>
    <row r="912" ht="15.75" customHeight="1" s="78"/>
    <row r="913" ht="15.75" customHeight="1" s="78"/>
    <row r="914" ht="15.75" customHeight="1" s="78"/>
    <row r="915" ht="15.75" customHeight="1" s="78"/>
    <row r="916" ht="15.75" customHeight="1" s="78"/>
    <row r="917" ht="15.75" customHeight="1" s="78"/>
    <row r="918" ht="15.75" customHeight="1" s="78"/>
    <row r="919" ht="15.75" customHeight="1" s="78"/>
    <row r="920" ht="15.75" customHeight="1" s="78"/>
    <row r="921" ht="15.75" customHeight="1" s="78"/>
    <row r="922" ht="15.75" customHeight="1" s="78"/>
    <row r="923" ht="15.75" customHeight="1" s="78"/>
    <row r="924" ht="15.75" customHeight="1" s="78"/>
    <row r="925" ht="15.75" customHeight="1" s="78"/>
    <row r="926" ht="15.75" customHeight="1" s="78"/>
    <row r="927" ht="15.75" customHeight="1" s="78"/>
    <row r="928" ht="15.75" customHeight="1" s="78"/>
    <row r="929" ht="15.75" customHeight="1" s="78"/>
    <row r="930" ht="15.75" customHeight="1" s="78"/>
    <row r="931" ht="15.75" customHeight="1" s="78"/>
    <row r="932" ht="15.75" customHeight="1" s="78"/>
    <row r="933" ht="15.75" customHeight="1" s="78"/>
    <row r="934" ht="15.75" customHeight="1" s="78"/>
    <row r="935" ht="15.75" customHeight="1" s="78"/>
    <row r="936" ht="15.75" customHeight="1" s="78"/>
    <row r="937" ht="15.75" customHeight="1" s="78"/>
    <row r="938" ht="15.75" customHeight="1" s="78"/>
    <row r="939" ht="15.75" customHeight="1" s="78"/>
    <row r="940" ht="15.75" customHeight="1" s="78"/>
    <row r="941" ht="15.75" customHeight="1" s="78"/>
    <row r="942" ht="15.75" customHeight="1" s="78"/>
    <row r="943" ht="15.75" customHeight="1" s="78"/>
    <row r="944" ht="15.75" customHeight="1" s="78"/>
    <row r="945" ht="15.75" customHeight="1" s="78"/>
    <row r="946" ht="15.75" customHeight="1" s="78"/>
    <row r="947" ht="15.75" customHeight="1" s="78"/>
    <row r="948" ht="15.75" customHeight="1" s="78"/>
    <row r="949" ht="15.75" customHeight="1" s="78"/>
    <row r="950" ht="15.75" customHeight="1" s="78"/>
    <row r="951" ht="15.75" customHeight="1" s="78"/>
    <row r="952" ht="15.75" customHeight="1" s="78"/>
    <row r="953" ht="15.75" customHeight="1" s="78"/>
    <row r="954" ht="15.75" customHeight="1" s="78"/>
    <row r="955" ht="15.75" customHeight="1" s="78"/>
    <row r="956" ht="15.75" customHeight="1" s="78"/>
    <row r="957" ht="15.75" customHeight="1" s="78"/>
    <row r="958" ht="15.75" customHeight="1" s="78"/>
    <row r="959" ht="15.75" customHeight="1" s="78"/>
    <row r="960" ht="15.75" customHeight="1" s="78"/>
    <row r="961" ht="15.75" customHeight="1" s="78"/>
    <row r="962" ht="15.75" customHeight="1" s="78"/>
    <row r="963" ht="15.75" customHeight="1" s="78"/>
    <row r="964" ht="15.75" customHeight="1" s="78"/>
    <row r="965" ht="15.75" customHeight="1" s="78"/>
    <row r="966" ht="15.75" customHeight="1" s="78"/>
    <row r="967" ht="15.75" customHeight="1" s="78"/>
    <row r="968" ht="15.75" customHeight="1" s="78"/>
    <row r="969" ht="15.75" customHeight="1" s="78"/>
    <row r="970" ht="15.75" customHeight="1" s="78"/>
    <row r="971" ht="15.75" customHeight="1" s="78"/>
    <row r="972" ht="15.75" customHeight="1" s="78"/>
    <row r="973" ht="15.75" customHeight="1" s="78"/>
    <row r="974" ht="15.75" customHeight="1" s="78"/>
    <row r="975" ht="15.75" customHeight="1" s="78"/>
    <row r="976" ht="15.75" customHeight="1" s="78"/>
    <row r="977" ht="15.75" customHeight="1" s="78"/>
    <row r="978" ht="15.75" customHeight="1" s="78"/>
    <row r="979" ht="15.75" customHeight="1" s="78"/>
    <row r="980" ht="15.75" customHeight="1" s="78"/>
    <row r="981" ht="15.75" customHeight="1" s="78"/>
    <row r="982" ht="15.75" customHeight="1" s="78"/>
    <row r="983" ht="15.75" customHeight="1" s="78"/>
    <row r="984" ht="15.75" customHeight="1" s="78"/>
    <row r="985" ht="15.75" customHeight="1" s="78"/>
    <row r="986" ht="15.75" customHeight="1" s="78"/>
    <row r="987" ht="15.75" customHeight="1" s="78"/>
    <row r="988" ht="15.75" customHeight="1" s="78"/>
    <row r="989" ht="15.75" customHeight="1" s="78"/>
    <row r="990" ht="15.75" customHeight="1" s="78"/>
    <row r="991" ht="15.75" customHeight="1" s="78"/>
    <row r="992" ht="15.75" customHeight="1" s="78"/>
    <row r="993" ht="15.75" customHeight="1" s="78"/>
    <row r="994" ht="15.75" customHeight="1" s="78"/>
    <row r="995" ht="15.75" customHeight="1" s="78"/>
    <row r="996" ht="15.75" customHeight="1" s="78"/>
    <row r="997" ht="15.75" customHeight="1" s="78"/>
    <row r="998" ht="15.75" customHeight="1" s="78"/>
    <row r="999" ht="15.75" customHeight="1" s="78"/>
    <row r="1000" ht="15.75" customHeight="1" s="78"/>
  </sheetData>
  <mergeCells count="11">
    <mergeCell ref="D20:E20"/>
    <mergeCell ref="A18:D18"/>
    <mergeCell ref="A19:C19"/>
    <mergeCell ref="D19:E19"/>
    <mergeCell ref="A1:F1"/>
    <mergeCell ref="A22:C22"/>
    <mergeCell ref="D22:E22"/>
    <mergeCell ref="A21:C21"/>
    <mergeCell ref="A2:J2"/>
    <mergeCell ref="A20:C20"/>
    <mergeCell ref="D21:E21"/>
  </mergeCells>
  <dataValidations count="1">
    <dataValidation sqref="E5:E16" showDropDown="0" showInputMessage="0" showErrorMessage="0" allowBlank="1" type="list">
      <formula1>"Pass,Partial,Fail,Not Tested,N/A"</formula1>
    </dataValidation>
  </dataValidations>
  <pageMargins left="0.75" right="0.75" top="1" bottom="1" header="0" footer="0"/>
  <pageSetup orientation="landscape" fitToHeight="0"/>
</worksheet>
</file>

<file path=xl/worksheets/sheet14.xml><?xml version="1.0" encoding="utf-8"?>
<worksheet xmlns="http://schemas.openxmlformats.org/spreadsheetml/2006/main">
  <sheetPr>
    <outlinePr summaryBelow="1" summaryRight="1"/>
    <pageSetUpPr fitToPage="1"/>
  </sheetPr>
  <dimension ref="A1:M49"/>
  <sheetViews>
    <sheetView showGridLines="0" workbookViewId="0">
      <pane ySplit="4" topLeftCell="A5" activePane="bottomLeft" state="frozen"/>
      <selection pane="bottomLeft" activeCell="B6" sqref="B6"/>
    </sheetView>
  </sheetViews>
  <sheetFormatPr baseColWidth="8" defaultColWidth="14.43" defaultRowHeight="15" customHeight="1"/>
  <cols>
    <col width="8" customWidth="1" style="78" min="1" max="1"/>
    <col width="34" customWidth="1" style="78" min="2" max="2"/>
    <col width="7" customWidth="1" style="78" min="3" max="3"/>
    <col width="14" customWidth="1" style="78" min="4" max="4"/>
    <col width="9" customWidth="1" style="78" min="5" max="5"/>
    <col width="11" customWidth="1" style="78" min="6" max="6"/>
    <col width="10" customWidth="1" style="78" min="7" max="7"/>
    <col width="40" customWidth="1" style="78" min="8" max="8"/>
    <col width="9" customWidth="1" style="78" min="9" max="9"/>
    <col width="11" customWidth="1" style="78" min="10" max="10"/>
    <col width="46" customWidth="1" style="78" min="11" max="11"/>
    <col width="8" customWidth="1" style="78" min="12" max="12"/>
    <col width="50" customWidth="1" style="78" min="13" max="13"/>
    <col width="8.710000000000001" customWidth="1" style="78" min="14" max="26"/>
  </cols>
  <sheetData>
    <row r="1">
      <c r="A1" s="3" t="inlineStr">
        <is>
          <t>Accessibility Scorecard — App Template</t>
        </is>
      </c>
    </row>
    <row r="2" ht="24" customHeight="1" s="78">
      <c r="A2" s="6" t="inlineStr">
        <is>
          <t>Blue cells are inputs (Status / Evidence count / Notes). WCAG2ICT and Recommended Improvement columns are reference-only. Everything else recalculates automatically.</t>
        </is>
      </c>
    </row>
    <row r="4" ht="30" customHeight="1" s="78">
      <c r="A4" s="8" t="inlineStr">
        <is>
          <t>SC #</t>
        </is>
      </c>
      <c r="B4" s="8" t="inlineStr">
        <is>
          <t>Success Criterion</t>
        </is>
      </c>
      <c r="C4" s="8" t="inlineStr">
        <is>
          <t>Level</t>
        </is>
      </c>
      <c r="D4" s="8" t="inlineStr">
        <is>
          <t>Principle</t>
        </is>
      </c>
      <c r="E4" s="8" t="inlineStr">
        <is>
          <t>Relevance
weight (1-3)</t>
        </is>
      </c>
      <c r="F4" s="8" t="inlineStr">
        <is>
          <t>Status</t>
        </is>
      </c>
      <c r="G4" s="8" t="inlineStr">
        <is>
          <t>Status
score</t>
        </is>
      </c>
      <c r="H4" s="8" t="inlineStr">
        <is>
          <t>Notes / Evidence</t>
        </is>
      </c>
      <c r="I4" s="8" t="inlineStr">
        <is>
          <t>Instances
found</t>
        </is>
      </c>
      <c r="J4" s="8" t="inlineStr">
        <is>
          <t>Weighted
score</t>
        </is>
      </c>
      <c r="K4" s="8" t="inlineStr">
        <is>
          <t>WCAG2ICT interpretation
(native/mobile software)</t>
        </is>
      </c>
      <c r="L4" s="18" t="inlineStr">
        <is>
          <t>Tested?</t>
        </is>
      </c>
      <c r="M4" s="8" t="inlineStr">
        <is>
          <t>Recommended Improvement</t>
        </is>
      </c>
    </row>
    <row r="5">
      <c r="A5" s="15" t="inlineStr">
        <is>
          <t>1.1.1</t>
        </is>
      </c>
      <c r="B5" s="11" t="inlineStr">
        <is>
          <t>Non-text Content</t>
        </is>
      </c>
      <c r="C5" s="13" t="inlineStr">
        <is>
          <t>A</t>
        </is>
      </c>
      <c r="D5" s="15" t="inlineStr">
        <is>
          <t>Perceivable</t>
        </is>
      </c>
      <c r="E5" s="23" t="n">
        <v>3</v>
      </c>
      <c r="F5" s="50" t="inlineStr">
        <is>
          <t>Not Tested</t>
        </is>
      </c>
      <c r="G5" s="15">
        <f>IF(F5="Pass",1,IF(F5="Partial",0.5,IF(F5="Fail",0,0)))</f>
        <v/>
      </c>
      <c r="H5" s="17" t="n"/>
      <c r="I5" s="23" t="n"/>
      <c r="J5" s="15">
        <f>E5*G5</f>
        <v/>
      </c>
      <c r="K5" s="39" t="inlineStr">
        <is>
          <t>'Web page' -&gt; 'software'; a non-text control's accessible name must be exposed via the platform accessibility API (Android AccessibilityNodeInfo / iOS UIAccessibility), not just visible on screen.</t>
        </is>
      </c>
      <c r="L5" s="15">
        <f>IF(OR(F5="Pass",F5="Partial",F5="Fail"),1,0)</f>
        <v/>
      </c>
      <c r="M5" s="53" t="n"/>
    </row>
    <row r="6">
      <c r="A6" s="29" t="inlineStr">
        <is>
          <t>1.3.1</t>
        </is>
      </c>
      <c r="B6" s="25" t="inlineStr">
        <is>
          <t>Info and Relationships</t>
        </is>
      </c>
      <c r="C6" s="13" t="inlineStr">
        <is>
          <t>A</t>
        </is>
      </c>
      <c r="D6" s="29" t="inlineStr">
        <is>
          <t>Perceivable</t>
        </is>
      </c>
      <c r="E6" s="42" t="n">
        <v>2</v>
      </c>
      <c r="F6" s="50" t="inlineStr">
        <is>
          <t>Not Tested</t>
        </is>
      </c>
      <c r="G6" s="29">
        <f>IF(F6="Pass",1,IF(F6="Partial",0.5,IF(F6="Fail",0,0)))</f>
        <v/>
      </c>
      <c r="H6" s="33" t="n"/>
      <c r="I6" s="42" t="n"/>
      <c r="J6" s="29">
        <f>E6*G6</f>
        <v/>
      </c>
      <c r="K6" s="46" t="inlineStr">
        <is>
          <t>'Markup' -&gt; structural relationships conveyed through the accessibility tree (grouping, headings, lists) rather than HTML; a screen reader must be able to derive the same grouping a sighted user sees.</t>
        </is>
      </c>
      <c r="L6" s="29">
        <f>IF(OR(F6="Pass",F6="Partial",F6="Fail"),1,0)</f>
        <v/>
      </c>
      <c r="M6" s="57" t="n"/>
    </row>
    <row r="7">
      <c r="A7" s="15" t="inlineStr">
        <is>
          <t>1.3.2</t>
        </is>
      </c>
      <c r="B7" s="11" t="inlineStr">
        <is>
          <t>Meaningful Sequence</t>
        </is>
      </c>
      <c r="C7" s="13" t="inlineStr">
        <is>
          <t>A</t>
        </is>
      </c>
      <c r="D7" s="15" t="inlineStr">
        <is>
          <t>Perceivable</t>
        </is>
      </c>
      <c r="E7" s="23" t="n">
        <v>2</v>
      </c>
      <c r="F7" s="50" t="inlineStr">
        <is>
          <t>Not Tested</t>
        </is>
      </c>
      <c r="G7" s="15">
        <f>IF(F7="Pass",1,IF(F7="Partial",0.5,IF(F7="Fail",0,0)))</f>
        <v/>
      </c>
      <c r="H7" s="17" t="n"/>
      <c r="I7" s="23" t="n"/>
      <c r="J7" s="15">
        <f>E7*G7</f>
        <v/>
      </c>
      <c r="K7" s="39" t="inlineStr">
        <is>
          <t>Applies as written: the swipe/focus order exposed to a screen reader must match the meaningful reading order, independent of visual layout.</t>
        </is>
      </c>
      <c r="L7" s="15">
        <f>IF(OR(F7="Pass",F7="Partial",F7="Fail"),1,0)</f>
        <v/>
      </c>
      <c r="M7" s="53" t="n"/>
    </row>
    <row r="8">
      <c r="A8" s="29" t="inlineStr">
        <is>
          <t>1.3.3</t>
        </is>
      </c>
      <c r="B8" s="25" t="inlineStr">
        <is>
          <t>Sensory Characteristics</t>
        </is>
      </c>
      <c r="C8" s="13" t="inlineStr">
        <is>
          <t>A</t>
        </is>
      </c>
      <c r="D8" s="29" t="inlineStr">
        <is>
          <t>Perceivable</t>
        </is>
      </c>
      <c r="E8" s="42" t="n">
        <v>1</v>
      </c>
      <c r="F8" s="50" t="inlineStr">
        <is>
          <t>Not Tested</t>
        </is>
      </c>
      <c r="G8" s="29">
        <f>IF(F8="Pass",1,IF(F8="Partial",0.5,IF(F8="Fail",0,0)))</f>
        <v/>
      </c>
      <c r="H8" s="33" t="n"/>
      <c r="I8" s="42" t="n"/>
      <c r="J8" s="29">
        <f>E8*G8</f>
        <v/>
      </c>
      <c r="K8" s="46" t="inlineStr">
        <is>
          <t>Applies as written; no web-specific terms to reinterpret.</t>
        </is>
      </c>
      <c r="L8" s="29">
        <f>IF(OR(F8="Pass",F8="Partial",F8="Fail"),1,0)</f>
        <v/>
      </c>
      <c r="M8" s="57" t="n"/>
    </row>
    <row r="9">
      <c r="A9" s="15" t="inlineStr">
        <is>
          <t>1.4.1</t>
        </is>
      </c>
      <c r="B9" s="11" t="inlineStr">
        <is>
          <t>Use of Color</t>
        </is>
      </c>
      <c r="C9" s="13" t="inlineStr">
        <is>
          <t>A</t>
        </is>
      </c>
      <c r="D9" s="15" t="inlineStr">
        <is>
          <t>Perceivable</t>
        </is>
      </c>
      <c r="E9" s="23" t="n">
        <v>1</v>
      </c>
      <c r="F9" s="50" t="inlineStr">
        <is>
          <t>Not Tested</t>
        </is>
      </c>
      <c r="G9" s="15">
        <f>IF(F9="Pass",1,IF(F9="Partial",0.5,IF(F9="Fail",0,0)))</f>
        <v/>
      </c>
      <c r="H9" s="17" t="n"/>
      <c r="I9" s="23" t="n"/>
      <c r="J9" s="15">
        <f>E9*G9</f>
        <v/>
      </c>
      <c r="K9" s="39" t="inlineStr">
        <is>
          <t>Applies as written; on native software this covers icon-only state indicators as much as web colour cues.</t>
        </is>
      </c>
      <c r="L9" s="15">
        <f>IF(OR(F9="Pass",F9="Partial",F9="Fail"),1,0)</f>
        <v/>
      </c>
      <c r="M9" s="53" t="n"/>
    </row>
    <row r="10">
      <c r="A10" s="29" t="inlineStr">
        <is>
          <t>2.1.1</t>
        </is>
      </c>
      <c r="B10" s="25" t="inlineStr">
        <is>
          <t>Keyboard / assistive-tech equivalent</t>
        </is>
      </c>
      <c r="C10" s="13" t="inlineStr">
        <is>
          <t>A</t>
        </is>
      </c>
      <c r="D10" s="29" t="inlineStr">
        <is>
          <t>Operable</t>
        </is>
      </c>
      <c r="E10" s="42" t="n">
        <v>2</v>
      </c>
      <c r="F10" s="50" t="inlineStr">
        <is>
          <t>Not Tested</t>
        </is>
      </c>
      <c r="G10" s="29">
        <f>IF(F10="Pass",1,IF(F10="Partial",0.5,IF(F10="Fail",0,0)))</f>
        <v/>
      </c>
      <c r="H10" s="33" t="n"/>
      <c r="I10" s="42" t="n"/>
      <c r="J10" s="29">
        <f>E10*G10</f>
        <v/>
      </c>
      <c r="K10" s="46" t="inlineStr">
        <is>
          <t>'Keyboard' -&gt; 'keyboard interface', which WCAG2ICT clarifies includes assistive technologies such as Switch Access/Full Keyboard Access that emulate key input, not only a physical keyboard.</t>
        </is>
      </c>
      <c r="L10" s="29">
        <f>IF(OR(F10="Pass",F10="Partial",F10="Fail"),1,0)</f>
        <v/>
      </c>
      <c r="M10" s="57" t="n"/>
    </row>
    <row r="11">
      <c r="A11" s="15" t="inlineStr">
        <is>
          <t>2.4.3</t>
        </is>
      </c>
      <c r="B11" s="11" t="inlineStr">
        <is>
          <t>Focus Order</t>
        </is>
      </c>
      <c r="C11" s="13" t="inlineStr">
        <is>
          <t>A</t>
        </is>
      </c>
      <c r="D11" s="15" t="inlineStr">
        <is>
          <t>Operable</t>
        </is>
      </c>
      <c r="E11" s="23" t="n">
        <v>3</v>
      </c>
      <c r="F11" s="50" t="inlineStr">
        <is>
          <t>Not Tested</t>
        </is>
      </c>
      <c r="G11" s="15">
        <f>IF(F11="Pass",1,IF(F11="Partial",0.5,IF(F11="Fail",0,0)))</f>
        <v/>
      </c>
      <c r="H11" s="17" t="n"/>
      <c r="I11" s="23" t="n"/>
      <c r="J11" s="15">
        <f>E11*G11</f>
        <v/>
      </c>
      <c r="K11" s="39" t="inlineStr">
        <is>
          <t>Applies as written to the platform's own focus/accessibility-cursor order.</t>
        </is>
      </c>
      <c r="L11" s="15">
        <f>IF(OR(F11="Pass",F11="Partial",F11="Fail"),1,0)</f>
        <v/>
      </c>
      <c r="M11" s="53" t="n"/>
    </row>
    <row r="12">
      <c r="A12" s="29" t="inlineStr">
        <is>
          <t>2.4.4</t>
        </is>
      </c>
      <c r="B12" s="25" t="inlineStr">
        <is>
          <t>Link Purpose (In Context)</t>
        </is>
      </c>
      <c r="C12" s="13" t="inlineStr">
        <is>
          <t>A</t>
        </is>
      </c>
      <c r="D12" s="29" t="inlineStr">
        <is>
          <t>Operable</t>
        </is>
      </c>
      <c r="E12" s="42" t="n">
        <v>2</v>
      </c>
      <c r="F12" s="50" t="inlineStr">
        <is>
          <t>Not Tested</t>
        </is>
      </c>
      <c r="G12" s="29">
        <f>IF(F12="Pass",1,IF(F12="Partial",0.5,IF(F12="Fail",0,0)))</f>
        <v/>
      </c>
      <c r="H12" s="33" t="n"/>
      <c r="I12" s="42" t="n"/>
      <c r="J12" s="29">
        <f>E12*G12</f>
        <v/>
      </c>
      <c r="K12" s="46" t="inlineStr">
        <is>
          <t>'Link' -&gt; any control that navigates or triggers an action (a quick-link icon, a list row); purpose must be determinable from its accessible name or surrounding context.</t>
        </is>
      </c>
      <c r="L12" s="29">
        <f>IF(OR(F12="Pass",F12="Partial",F12="Fail"),1,0)</f>
        <v/>
      </c>
      <c r="M12" s="57" t="n"/>
    </row>
    <row r="13">
      <c r="A13" s="15" t="inlineStr">
        <is>
          <t>2.5.1</t>
        </is>
      </c>
      <c r="B13" s="11" t="inlineStr">
        <is>
          <t>Pointer Gestures</t>
        </is>
      </c>
      <c r="C13" s="13" t="inlineStr">
        <is>
          <t>A</t>
        </is>
      </c>
      <c r="D13" s="15" t="inlineStr">
        <is>
          <t>Operable</t>
        </is>
      </c>
      <c r="E13" s="23" t="n">
        <v>1</v>
      </c>
      <c r="F13" s="50" t="inlineStr">
        <is>
          <t>Not Tested</t>
        </is>
      </c>
      <c r="G13" s="15">
        <f>IF(F13="Pass",1,IF(F13="Partial",0.5,IF(F13="Fail",0,0)))</f>
        <v/>
      </c>
      <c r="H13" s="17" t="n"/>
      <c r="I13" s="23" t="n"/>
      <c r="J13" s="15">
        <f>E13*G13</f>
        <v/>
      </c>
      <c r="K13" s="39" t="inlineStr">
        <is>
          <t>Applies as written; written with touch interfaces in mind from WCAG 2.1 onward.</t>
        </is>
      </c>
      <c r="L13" s="15">
        <f>IF(OR(F13="Pass",F13="Partial",F13="Fail"),1,0)</f>
        <v/>
      </c>
      <c r="M13" s="53" t="n"/>
    </row>
    <row r="14">
      <c r="A14" s="29" t="inlineStr">
        <is>
          <t>2.5.2</t>
        </is>
      </c>
      <c r="B14" s="25" t="inlineStr">
        <is>
          <t>Pointer Cancellation</t>
        </is>
      </c>
      <c r="C14" s="13" t="inlineStr">
        <is>
          <t>A</t>
        </is>
      </c>
      <c r="D14" s="29" t="inlineStr">
        <is>
          <t>Operable</t>
        </is>
      </c>
      <c r="E14" s="42" t="n">
        <v>1</v>
      </c>
      <c r="F14" s="50" t="inlineStr">
        <is>
          <t>Not Tested</t>
        </is>
      </c>
      <c r="G14" s="29">
        <f>IF(F14="Pass",1,IF(F14="Partial",0.5,IF(F14="Fail",0,0)))</f>
        <v/>
      </c>
      <c r="H14" s="33" t="n"/>
      <c r="I14" s="42" t="n"/>
      <c r="J14" s="29">
        <f>E14*G14</f>
        <v/>
      </c>
      <c r="K14" s="46" t="inlineStr">
        <is>
          <t>Applies as written to native touch handling (down-event vs up-event activation).</t>
        </is>
      </c>
      <c r="L14" s="29">
        <f>IF(OR(F14="Pass",F14="Partial",F14="Fail"),1,0)</f>
        <v/>
      </c>
      <c r="M14" s="57" t="n"/>
    </row>
    <row r="15">
      <c r="A15" s="15" t="inlineStr">
        <is>
          <t>2.5.3</t>
        </is>
      </c>
      <c r="B15" s="11" t="inlineStr">
        <is>
          <t>Label in Name</t>
        </is>
      </c>
      <c r="C15" s="13" t="inlineStr">
        <is>
          <t>A</t>
        </is>
      </c>
      <c r="D15" s="15" t="inlineStr">
        <is>
          <t>Operable</t>
        </is>
      </c>
      <c r="E15" s="23" t="n">
        <v>2</v>
      </c>
      <c r="F15" s="50" t="inlineStr">
        <is>
          <t>Not Tested</t>
        </is>
      </c>
      <c r="G15" s="15">
        <f>IF(F15="Pass",1,IF(F15="Partial",0.5,IF(F15="Fail",0,0)))</f>
        <v/>
      </c>
      <c r="H15" s="17" t="n"/>
      <c r="I15" s="23" t="n"/>
      <c r="J15" s="15">
        <f>E15*G15</f>
        <v/>
      </c>
      <c r="K15" s="39" t="inlineStr">
        <is>
          <t>Applies as written: the programmatic accessible name must contain the visible label text so voice-control users can reference what they see.</t>
        </is>
      </c>
      <c r="L15" s="15">
        <f>IF(OR(F15="Pass",F15="Partial",F15="Fail"),1,0)</f>
        <v/>
      </c>
      <c r="M15" s="53" t="n"/>
    </row>
    <row r="16">
      <c r="A16" s="29" t="inlineStr">
        <is>
          <t>3.3.1</t>
        </is>
      </c>
      <c r="B16" s="25" t="inlineStr">
        <is>
          <t>Error Identification</t>
        </is>
      </c>
      <c r="C16" s="13" t="inlineStr">
        <is>
          <t>A</t>
        </is>
      </c>
      <c r="D16" s="29" t="inlineStr">
        <is>
          <t>Understandable</t>
        </is>
      </c>
      <c r="E16" s="42" t="n">
        <v>3</v>
      </c>
      <c r="F16" s="50" t="inlineStr">
        <is>
          <t>Not Tested</t>
        </is>
      </c>
      <c r="G16" s="29">
        <f>IF(F16="Pass",1,IF(F16="Partial",0.5,IF(F16="Fail",0,0)))</f>
        <v/>
      </c>
      <c r="H16" s="33" t="n"/>
      <c r="I16" s="42" t="n"/>
      <c r="J16" s="29">
        <f>E16*G16</f>
        <v/>
      </c>
      <c r="K16" s="46" t="inlineStr">
        <is>
          <t>Applies as written; the error must be identified through the accessibility API (e.g. announced), not only shown visually.</t>
        </is>
      </c>
      <c r="L16" s="29">
        <f>IF(OR(F16="Pass",F16="Partial",F16="Fail"),1,0)</f>
        <v/>
      </c>
      <c r="M16" s="57" t="n"/>
    </row>
    <row r="17">
      <c r="A17" s="15" t="inlineStr">
        <is>
          <t>3.3.2</t>
        </is>
      </c>
      <c r="B17" s="11" t="inlineStr">
        <is>
          <t>Labels or Instructions</t>
        </is>
      </c>
      <c r="C17" s="13" t="inlineStr">
        <is>
          <t>A</t>
        </is>
      </c>
      <c r="D17" s="15" t="inlineStr">
        <is>
          <t>Understandable</t>
        </is>
      </c>
      <c r="E17" s="23" t="n">
        <v>3</v>
      </c>
      <c r="F17" s="50" t="inlineStr">
        <is>
          <t>Not Tested</t>
        </is>
      </c>
      <c r="G17" s="15">
        <f>IF(F17="Pass",1,IF(F17="Partial",0.5,IF(F17="Fail",0,0)))</f>
        <v/>
      </c>
      <c r="H17" s="17" t="n"/>
      <c r="I17" s="23" t="n"/>
      <c r="J17" s="15">
        <f>E17*G17</f>
        <v/>
      </c>
      <c r="K17" s="39" t="inlineStr">
        <is>
          <t>Applies as written; WCAG2ICT notes placeholder-only text that disappears on input/focus is a common native-software failure mode of this criterion.</t>
        </is>
      </c>
      <c r="L17" s="15">
        <f>IF(OR(F17="Pass",F17="Partial",F17="Fail"),1,0)</f>
        <v/>
      </c>
      <c r="M17" s="53" t="n"/>
    </row>
    <row r="18">
      <c r="A18" s="29" t="inlineStr">
        <is>
          <t>3.3.9</t>
        </is>
      </c>
      <c r="B18" s="25" t="inlineStr">
        <is>
          <t>Redundant Entry</t>
        </is>
      </c>
      <c r="C18" s="13" t="inlineStr">
        <is>
          <t>A</t>
        </is>
      </c>
      <c r="D18" s="29" t="inlineStr">
        <is>
          <t>Understandable</t>
        </is>
      </c>
      <c r="E18" s="42" t="n">
        <v>1</v>
      </c>
      <c r="F18" s="50" t="inlineStr">
        <is>
          <t>Not Tested</t>
        </is>
      </c>
      <c r="G18" s="29">
        <f>IF(F18="Pass",1,IF(F18="Partial",0.5,IF(F18="Fail",0,0)))</f>
        <v/>
      </c>
      <c r="H18" s="33" t="n"/>
      <c r="I18" s="42" t="n"/>
      <c r="J18" s="29">
        <f>E18*G18</f>
        <v/>
      </c>
      <c r="K18" s="46" t="inlineStr">
        <is>
          <t>Applies as written; added in WCAG 2.2 with no web-specific terms.</t>
        </is>
      </c>
      <c r="L18" s="29">
        <f>IF(OR(F18="Pass",F18="Partial",F18="Fail"),1,0)</f>
        <v/>
      </c>
      <c r="M18" s="57" t="n"/>
    </row>
    <row r="19">
      <c r="A19" s="15" t="inlineStr">
        <is>
          <t>1.3.5</t>
        </is>
      </c>
      <c r="B19" s="11" t="inlineStr">
        <is>
          <t>Identify Input Purpose</t>
        </is>
      </c>
      <c r="C19" s="48" t="inlineStr">
        <is>
          <t>AA</t>
        </is>
      </c>
      <c r="D19" s="15" t="inlineStr">
        <is>
          <t>Perceivable</t>
        </is>
      </c>
      <c r="E19" s="23" t="n">
        <v>2</v>
      </c>
      <c r="F19" s="50" t="inlineStr">
        <is>
          <t>Not Tested</t>
        </is>
      </c>
      <c r="G19" s="15">
        <f>IF(F19="Pass",1,IF(F19="Partial",0.5,IF(F19="Fail",0,0)))</f>
        <v/>
      </c>
      <c r="H19" s="17" t="n"/>
      <c r="I19" s="23" t="n"/>
      <c r="J19" s="15">
        <f>E19*G19</f>
        <v/>
      </c>
      <c r="K19" s="39" t="inlineStr">
        <is>
          <t>'Input purpose... can be programmatically determined' maps to using standard platform input types/autofill hints (e.g. Android autofillHints) rather than a generic text field.</t>
        </is>
      </c>
      <c r="L19" s="15">
        <f>IF(OR(F19="Pass",F19="Partial",F19="Fail"),1,0)</f>
        <v/>
      </c>
      <c r="M19" s="53" t="n"/>
    </row>
    <row r="20">
      <c r="A20" s="29" t="inlineStr">
        <is>
          <t>3.2.1</t>
        </is>
      </c>
      <c r="B20" s="25" t="inlineStr">
        <is>
          <t>On Focus</t>
        </is>
      </c>
      <c r="C20" s="13" t="inlineStr">
        <is>
          <t>A</t>
        </is>
      </c>
      <c r="D20" s="29" t="inlineStr">
        <is>
          <t>Operable</t>
        </is>
      </c>
      <c r="E20" s="42" t="n">
        <v>2</v>
      </c>
      <c r="F20" s="50" t="inlineStr">
        <is>
          <t>Not Tested</t>
        </is>
      </c>
      <c r="G20" s="29">
        <f>IF(F20="Pass",1,IF(F20="Partial",0.5,IF(F20="Fail",0,0)))</f>
        <v/>
      </c>
      <c r="H20" s="33" t="n"/>
      <c r="I20" s="42" t="n"/>
      <c r="J20" s="29">
        <f>E20*G20</f>
        <v/>
      </c>
      <c r="K20" s="46" t="inlineStr">
        <is>
          <t>Applies as written; on native software this covers focus changes triggered by the accessibility cursor, not only literal keyboard focus.</t>
        </is>
      </c>
      <c r="L20" s="29">
        <f>IF(OR(F20="Pass",F20="Partial",F20="Fail"),1,0)</f>
        <v/>
      </c>
      <c r="M20" s="57" t="n"/>
    </row>
    <row r="21" ht="15.75" customHeight="1" s="78">
      <c r="A21" s="15" t="inlineStr">
        <is>
          <t>3.2.2</t>
        </is>
      </c>
      <c r="B21" s="11" t="inlineStr">
        <is>
          <t>On Input</t>
        </is>
      </c>
      <c r="C21" s="13" t="inlineStr">
        <is>
          <t>A</t>
        </is>
      </c>
      <c r="D21" s="15" t="inlineStr">
        <is>
          <t>Operable</t>
        </is>
      </c>
      <c r="E21" s="23" t="n">
        <v>2</v>
      </c>
      <c r="F21" s="50" t="inlineStr">
        <is>
          <t>Not Tested</t>
        </is>
      </c>
      <c r="G21" s="15">
        <f>IF(F21="Pass",1,IF(F21="Partial",0.5,IF(F21="Fail",0,0)))</f>
        <v/>
      </c>
      <c r="H21" s="17" t="n"/>
      <c r="I21" s="23" t="n"/>
      <c r="J21" s="15">
        <f>E21*G21</f>
        <v/>
      </c>
      <c r="K21" s="39" t="inlineStr">
        <is>
          <t>Applies as written; important on forms with toggles/selectors (network, Self/Other) that a screen-reader user changes one at a time.</t>
        </is>
      </c>
      <c r="L21" s="15">
        <f>IF(OR(F21="Pass",F21="Partial",F21="Fail"),1,0)</f>
        <v/>
      </c>
      <c r="M21" s="53" t="n"/>
    </row>
    <row r="22" ht="15.75" customHeight="1" s="78">
      <c r="A22" s="29" t="inlineStr">
        <is>
          <t>4.1.2</t>
        </is>
      </c>
      <c r="B22" s="25" t="inlineStr">
        <is>
          <t>Name, Role, Value</t>
        </is>
      </c>
      <c r="C22" s="13" t="inlineStr">
        <is>
          <t>A</t>
        </is>
      </c>
      <c r="D22" s="29" t="inlineStr">
        <is>
          <t>Robust</t>
        </is>
      </c>
      <c r="E22" s="42" t="n">
        <v>3</v>
      </c>
      <c r="F22" s="50" t="inlineStr">
        <is>
          <t>Not Tested</t>
        </is>
      </c>
      <c r="G22" s="29">
        <f>IF(F22="Pass",1,IF(F22="Partial",0.5,IF(F22="Fail",0,0)))</f>
        <v/>
      </c>
      <c r="H22" s="33" t="n"/>
      <c r="I22" s="42" t="n"/>
      <c r="J22" s="29">
        <f>E22*G22</f>
        <v/>
      </c>
      <c r="K22" s="46" t="inlineStr">
        <is>
          <t>This is the core native-software criterion in WCAG2ICT: 'name, role, value' maps directly to what a platform accessibility API exposes for each control - exactly what Google Accessibility Scanner tests.</t>
        </is>
      </c>
      <c r="L22" s="29">
        <f>IF(OR(F22="Pass",F22="Partial",F22="Fail"),1,0)</f>
        <v/>
      </c>
      <c r="M22" s="57" t="n"/>
    </row>
    <row r="23" ht="15.75" customHeight="1" s="78">
      <c r="A23" s="15" t="inlineStr">
        <is>
          <t>1.4.3</t>
        </is>
      </c>
      <c r="B23" s="11" t="inlineStr">
        <is>
          <t>Contrast (Minimum)</t>
        </is>
      </c>
      <c r="C23" s="48" t="inlineStr">
        <is>
          <t>AA</t>
        </is>
      </c>
      <c r="D23" s="15" t="inlineStr">
        <is>
          <t>Perceivable</t>
        </is>
      </c>
      <c r="E23" s="23" t="n">
        <v>1</v>
      </c>
      <c r="F23" s="50" t="inlineStr">
        <is>
          <t>Not Tested</t>
        </is>
      </c>
      <c r="G23" s="15">
        <f>IF(F23="Pass",1,IF(F23="Partial",0.5,IF(F23="Fail",0,0)))</f>
        <v/>
      </c>
      <c r="H23" s="17" t="n"/>
      <c r="I23" s="23" t="n"/>
      <c r="J23" s="15">
        <f>E23*G23</f>
        <v/>
      </c>
      <c r="K23" s="39" t="inlineStr">
        <is>
          <t>Applies as written; 'text' includes native UI labels, not only web text.</t>
        </is>
      </c>
      <c r="L23" s="15">
        <f>IF(OR(F23="Pass",F23="Partial",F23="Fail"),1,0)</f>
        <v/>
      </c>
      <c r="M23" s="53" t="n"/>
    </row>
    <row r="24" ht="15.75" customHeight="1" s="78">
      <c r="A24" s="29" t="inlineStr">
        <is>
          <t>1.4.4</t>
        </is>
      </c>
      <c r="B24" s="25" t="inlineStr">
        <is>
          <t>Resize Text</t>
        </is>
      </c>
      <c r="C24" s="48" t="inlineStr">
        <is>
          <t>AA</t>
        </is>
      </c>
      <c r="D24" s="29" t="inlineStr">
        <is>
          <t>Perceivable</t>
        </is>
      </c>
      <c r="E24" s="42" t="n">
        <v>1</v>
      </c>
      <c r="F24" s="50" t="inlineStr">
        <is>
          <t>Not Tested</t>
        </is>
      </c>
      <c r="G24" s="29">
        <f>IF(F24="Pass",1,IF(F24="Partial",0.5,IF(F24="Fail",0,0)))</f>
        <v/>
      </c>
      <c r="H24" s="33" t="n"/>
      <c r="I24" s="42" t="n"/>
      <c r="J24" s="29">
        <f>E24*G24</f>
        <v/>
      </c>
      <c r="K24" s="46" t="inlineStr">
        <is>
          <t>Applies with a platform-specific mechanism: resizing happens via the OS text-scale setting rather than browser zoom.</t>
        </is>
      </c>
      <c r="L24" s="29">
        <f>IF(OR(F24="Pass",F24="Partial",F24="Fail"),1,0)</f>
        <v/>
      </c>
      <c r="M24" s="57" t="n"/>
    </row>
    <row r="25" ht="15.75" customHeight="1" s="78">
      <c r="A25" s="15" t="inlineStr">
        <is>
          <t>1.4.10</t>
        </is>
      </c>
      <c r="B25" s="11" t="inlineStr">
        <is>
          <t>Reflow</t>
        </is>
      </c>
      <c r="C25" s="48" t="inlineStr">
        <is>
          <t>AA</t>
        </is>
      </c>
      <c r="D25" s="15" t="inlineStr">
        <is>
          <t>Perceivable</t>
        </is>
      </c>
      <c r="E25" s="23" t="n">
        <v>1</v>
      </c>
      <c r="F25" s="50" t="inlineStr">
        <is>
          <t>Not Tested</t>
        </is>
      </c>
      <c r="G25" s="15">
        <f>IF(F25="Pass",1,IF(F25="Partial",0.5,IF(F25="Fail",0,0)))</f>
        <v/>
      </c>
      <c r="H25" s="17" t="n"/>
      <c r="I25" s="23" t="n"/>
      <c r="J25" s="15">
        <f>E25*G25</f>
        <v/>
      </c>
      <c r="K25" s="39" t="inlineStr">
        <is>
          <t>WCAG2ICT notes this applies where the software supports resizing/zoom; if the app has no zoom/scale feature at all, evaluate against the OS-level scaling it does support.</t>
        </is>
      </c>
      <c r="L25" s="15">
        <f>IF(OR(F25="Pass",F25="Partial",F25="Fail"),1,0)</f>
        <v/>
      </c>
      <c r="M25" s="53" t="n"/>
    </row>
    <row r="26" ht="15.75" customHeight="1" s="78">
      <c r="A26" s="29" t="inlineStr">
        <is>
          <t>1.4.11</t>
        </is>
      </c>
      <c r="B26" s="25" t="inlineStr">
        <is>
          <t>Non-text Contrast</t>
        </is>
      </c>
      <c r="C26" s="48" t="inlineStr">
        <is>
          <t>AA</t>
        </is>
      </c>
      <c r="D26" s="29" t="inlineStr">
        <is>
          <t>Perceivable</t>
        </is>
      </c>
      <c r="E26" s="42" t="n">
        <v>2</v>
      </c>
      <c r="F26" s="50" t="inlineStr">
        <is>
          <t>Not Tested</t>
        </is>
      </c>
      <c r="G26" s="29">
        <f>IF(F26="Pass",1,IF(F26="Partial",0.5,IF(F26="Fail",0,0)))</f>
        <v/>
      </c>
      <c r="H26" s="33" t="n"/>
      <c r="I26" s="42" t="n"/>
      <c r="J26" s="29">
        <f>E26*G26</f>
        <v/>
      </c>
      <c r="K26" s="46" t="inlineStr">
        <is>
          <t>Applies as written to native icons and UI component boundaries.</t>
        </is>
      </c>
      <c r="L26" s="29">
        <f>IF(OR(F26="Pass",F26="Partial",F26="Fail"),1,0)</f>
        <v/>
      </c>
      <c r="M26" s="57" t="n"/>
    </row>
    <row r="27" ht="15.75" customHeight="1" s="78">
      <c r="A27" s="15" t="inlineStr">
        <is>
          <t>2.4.6</t>
        </is>
      </c>
      <c r="B27" s="11" t="inlineStr">
        <is>
          <t>Headings and Labels</t>
        </is>
      </c>
      <c r="C27" s="48" t="inlineStr">
        <is>
          <t>AA</t>
        </is>
      </c>
      <c r="D27" s="15" t="inlineStr">
        <is>
          <t>Operable</t>
        </is>
      </c>
      <c r="E27" s="23" t="n">
        <v>1</v>
      </c>
      <c r="F27" s="50" t="inlineStr">
        <is>
          <t>Not Tested</t>
        </is>
      </c>
      <c r="G27" s="15">
        <f>IF(F27="Pass",1,IF(F27="Partial",0.5,IF(F27="Fail",0,0)))</f>
        <v/>
      </c>
      <c r="H27" s="17" t="n"/>
      <c r="I27" s="23" t="n"/>
      <c r="J27" s="15">
        <f>E27*G27</f>
        <v/>
      </c>
      <c r="K27" s="39" t="inlineStr">
        <is>
          <t>'Web page' -&gt; 'screen/view'; each screen and section needs a descriptive, programmatically exposed title/heading.</t>
        </is>
      </c>
      <c r="L27" s="15">
        <f>IF(OR(F27="Pass",F27="Partial",F27="Fail"),1,0)</f>
        <v/>
      </c>
      <c r="M27" s="53" t="n"/>
    </row>
    <row r="28" ht="15.75" customHeight="1" s="78">
      <c r="A28" s="29" t="inlineStr">
        <is>
          <t>2.4.7</t>
        </is>
      </c>
      <c r="B28" s="25" t="inlineStr">
        <is>
          <t>Focus Visible</t>
        </is>
      </c>
      <c r="C28" s="48" t="inlineStr">
        <is>
          <t>AA</t>
        </is>
      </c>
      <c r="D28" s="29" t="inlineStr">
        <is>
          <t>Operable</t>
        </is>
      </c>
      <c r="E28" s="42" t="n">
        <v>1</v>
      </c>
      <c r="F28" s="50" t="inlineStr">
        <is>
          <t>Not Tested</t>
        </is>
      </c>
      <c r="G28" s="29">
        <f>IF(F28="Pass",1,IF(F28="Partial",0.5,IF(F28="Fail",0,0)))</f>
        <v/>
      </c>
      <c r="H28" s="33" t="n"/>
      <c r="I28" s="42" t="n"/>
      <c r="J28" s="29">
        <f>E28*G28</f>
        <v/>
      </c>
      <c r="K28" s="46" t="inlineStr">
        <is>
          <t>Applies where the platform supports a visible focus indicator (external keyboard, Switch Access, D-pad); not exercised by pure touch/screen-reader use, so needs manual testing on the relevant input mode.</t>
        </is>
      </c>
      <c r="L28" s="29">
        <f>IF(OR(F28="Pass",F28="Partial",F28="Fail"),1,0)</f>
        <v/>
      </c>
      <c r="M28" s="57" t="n"/>
    </row>
    <row r="29" ht="15.75" customHeight="1" s="78">
      <c r="A29" s="15" t="inlineStr">
        <is>
          <t>2.5.8</t>
        </is>
      </c>
      <c r="B29" s="11" t="inlineStr">
        <is>
          <t>Target Size (Minimum, 24x24px)</t>
        </is>
      </c>
      <c r="C29" s="48" t="inlineStr">
        <is>
          <t>AA</t>
        </is>
      </c>
      <c r="D29" s="15" t="inlineStr">
        <is>
          <t>Operable</t>
        </is>
      </c>
      <c r="E29" s="23" t="n">
        <v>2</v>
      </c>
      <c r="F29" s="50" t="inlineStr">
        <is>
          <t>Not Tested</t>
        </is>
      </c>
      <c r="G29" s="15">
        <f>IF(F29="Pass",1,IF(F29="Partial",0.5,IF(F29="Fail",0,0)))</f>
        <v/>
      </c>
      <c r="H29" s="17" t="n"/>
      <c r="I29" s="23" t="n"/>
      <c r="J29" s="15">
        <f>E29*G29</f>
        <v/>
      </c>
      <c r="K29" s="39" t="inlineStr">
        <is>
          <t>Applies as written to native touch targets; note platform guidance (Android 48dp, Apple 44pt) is stricter than WCAG's own 24px floor - both are reported here.</t>
        </is>
      </c>
      <c r="L29" s="15">
        <f>IF(OR(F29="Pass",F29="Partial",F29="Fail"),1,0)</f>
        <v/>
      </c>
      <c r="M29" s="53" t="n"/>
    </row>
    <row r="30" ht="15.75" customHeight="1" s="78">
      <c r="A30" s="29" t="inlineStr">
        <is>
          <t>3.2.4</t>
        </is>
      </c>
      <c r="B30" s="25" t="inlineStr">
        <is>
          <t>Consistent Identification</t>
        </is>
      </c>
      <c r="C30" s="48" t="inlineStr">
        <is>
          <t>AA</t>
        </is>
      </c>
      <c r="D30" s="29" t="inlineStr">
        <is>
          <t>Understandable</t>
        </is>
      </c>
      <c r="E30" s="42" t="n">
        <v>0</v>
      </c>
      <c r="F30" s="50" t="inlineStr">
        <is>
          <t>Not Tested</t>
        </is>
      </c>
      <c r="G30" s="29">
        <f>IF(F30="Pass",1,IF(F30="Partial",0.5,IF(F30="Fail",0,0)))</f>
        <v/>
      </c>
      <c r="H30" s="33" t="n"/>
      <c r="I30" s="42" t="n"/>
      <c r="J30" s="29">
        <f>E30*G30</f>
        <v/>
      </c>
      <c r="K30" s="46" t="inlineStr">
        <is>
          <t>Explicitly excluded for non-web software by Section 508 and EN 301 549 - not scored.</t>
        </is>
      </c>
      <c r="L30" s="29">
        <f>IF(OR(F30="Pass",F30="Partial",F30="Fail"),1,0)</f>
        <v/>
      </c>
      <c r="M30" s="57" t="n"/>
    </row>
    <row r="31" ht="15.75" customHeight="1" s="78">
      <c r="A31" s="15" t="inlineStr">
        <is>
          <t>3.3.3</t>
        </is>
      </c>
      <c r="B31" s="11" t="inlineStr">
        <is>
          <t>Error Suggestion</t>
        </is>
      </c>
      <c r="C31" s="48" t="inlineStr">
        <is>
          <t>AA</t>
        </is>
      </c>
      <c r="D31" s="15" t="inlineStr">
        <is>
          <t>Understandable</t>
        </is>
      </c>
      <c r="E31" s="23" t="n">
        <v>1</v>
      </c>
      <c r="F31" s="50" t="inlineStr">
        <is>
          <t>Not Tested</t>
        </is>
      </c>
      <c r="G31" s="15">
        <f>IF(F31="Pass",1,IF(F31="Partial",0.5,IF(F31="Fail",0,0)))</f>
        <v/>
      </c>
      <c r="H31" s="17" t="n"/>
      <c r="I31" s="23" t="n"/>
      <c r="J31" s="15">
        <f>E31*G31</f>
        <v/>
      </c>
      <c r="K31" s="39" t="inlineStr">
        <is>
          <t>Applies as written.</t>
        </is>
      </c>
      <c r="L31" s="15">
        <f>IF(OR(F31="Pass",F31="Partial",F31="Fail"),1,0)</f>
        <v/>
      </c>
      <c r="M31" s="53" t="n"/>
    </row>
    <row r="32" ht="15.75" customHeight="1" s="78">
      <c r="A32" s="29" t="inlineStr">
        <is>
          <t>3.3.4</t>
        </is>
      </c>
      <c r="B32" s="25" t="inlineStr">
        <is>
          <t>Error Prevention (Legal, Financial, Data)</t>
        </is>
      </c>
      <c r="C32" s="48" t="inlineStr">
        <is>
          <t>AA</t>
        </is>
      </c>
      <c r="D32" s="29" t="inlineStr">
        <is>
          <t>Understandable</t>
        </is>
      </c>
      <c r="E32" s="42" t="n">
        <v>3</v>
      </c>
      <c r="F32" s="50" t="inlineStr">
        <is>
          <t>Not Tested</t>
        </is>
      </c>
      <c r="G32" s="29">
        <f>IF(F32="Pass",1,IF(F32="Partial",0.5,IF(F32="Fail",0,0)))</f>
        <v/>
      </c>
      <c r="H32" s="33" t="n"/>
      <c r="I32" s="42" t="n"/>
      <c r="J32" s="29">
        <f>E32*G32</f>
        <v/>
      </c>
      <c r="K32" s="46" t="inlineStr">
        <is>
          <t>Applies as written and is squarely about transactions ('legal commitments, financial transactions'); directly relevant to this app's core function.</t>
        </is>
      </c>
      <c r="L32" s="29">
        <f>IF(OR(F32="Pass",F32="Partial",F32="Fail"),1,0)</f>
        <v/>
      </c>
      <c r="M32" s="57" t="n"/>
    </row>
    <row r="33" ht="15.75" customHeight="1" s="78">
      <c r="A33" s="15" t="inlineStr">
        <is>
          <t>3.3.7</t>
        </is>
      </c>
      <c r="B33" s="11" t="inlineStr">
        <is>
          <t>Accessible Authentication (Minimum)</t>
        </is>
      </c>
      <c r="C33" s="48" t="inlineStr">
        <is>
          <t>AA</t>
        </is>
      </c>
      <c r="D33" s="15" t="inlineStr">
        <is>
          <t>Understandable</t>
        </is>
      </c>
      <c r="E33" s="23" t="n">
        <v>3</v>
      </c>
      <c r="F33" s="50" t="inlineStr">
        <is>
          <t>Not Tested</t>
        </is>
      </c>
      <c r="G33" s="15">
        <f>IF(F33="Pass",1,IF(F33="Partial",0.5,IF(F33="Fail",0,0)))</f>
        <v/>
      </c>
      <c r="H33" s="17" t="n"/>
      <c r="I33" s="23" t="n"/>
      <c r="J33" s="15">
        <f>E33*G33</f>
        <v/>
      </c>
      <c r="K33" s="39" t="inlineStr">
        <is>
          <t>Applies as written; added in WCAG 2.2 with no web-specific terms to reinterpret.</t>
        </is>
      </c>
      <c r="L33" s="15">
        <f>IF(OR(F33="Pass",F33="Partial",F33="Fail"),1,0)</f>
        <v/>
      </c>
      <c r="M33" s="53" t="n"/>
    </row>
    <row r="34" ht="15.75" customHeight="1" s="78">
      <c r="A34" s="29" t="inlineStr">
        <is>
          <t>4.1.3</t>
        </is>
      </c>
      <c r="B34" s="25" t="inlineStr">
        <is>
          <t>Status Messages</t>
        </is>
      </c>
      <c r="C34" s="48" t="inlineStr">
        <is>
          <t>AA</t>
        </is>
      </c>
      <c r="D34" s="29" t="inlineStr">
        <is>
          <t>Robust</t>
        </is>
      </c>
      <c r="E34" s="42" t="n">
        <v>3</v>
      </c>
      <c r="F34" s="50" t="inlineStr">
        <is>
          <t>Not Tested</t>
        </is>
      </c>
      <c r="G34" s="29">
        <f>IF(F34="Pass",1,IF(F34="Partial",0.5,IF(F34="Fail",0,0)))</f>
        <v/>
      </c>
      <c r="H34" s="33" t="n"/>
      <c r="I34" s="42" t="n"/>
      <c r="J34" s="29">
        <f>E34*G34</f>
        <v/>
      </c>
      <c r="K34" s="46" t="inlineStr">
        <is>
          <t>'Programmatically determined through role or properties' -&gt; exposed via the accessibility API's live-region/announcement mechanism (e.g. Android AccessibilityEvent) so a status change is spoken without moving focus.</t>
        </is>
      </c>
      <c r="L34" s="29">
        <f>IF(OR(F34="Pass",F34="Partial",F34="Fail"),1,0)</f>
        <v/>
      </c>
      <c r="M34" s="57" t="n"/>
    </row>
    <row r="35" ht="15.75" customHeight="1" s="78">
      <c r="A35" s="15" t="inlineStr">
        <is>
          <t>2.2.1</t>
        </is>
      </c>
      <c r="B35" s="11" t="inlineStr">
        <is>
          <t>Timing Adjustable</t>
        </is>
      </c>
      <c r="C35" s="13" t="inlineStr">
        <is>
          <t>A</t>
        </is>
      </c>
      <c r="D35" s="15" t="inlineStr">
        <is>
          <t>Operable</t>
        </is>
      </c>
      <c r="E35" s="23" t="n">
        <v>3</v>
      </c>
      <c r="F35" s="50" t="inlineStr">
        <is>
          <t>Not Tested</t>
        </is>
      </c>
      <c r="G35" s="15">
        <f>IF(F35="Pass",1,IF(F35="Partial",0.5,IF(F35="Fail",0,0)))</f>
        <v/>
      </c>
      <c r="H35" s="17" t="n"/>
      <c r="I35" s="23" t="n"/>
      <c r="J35" s="15">
        <f>E35*G35</f>
        <v/>
      </c>
      <c r="K35" s="39" t="inlineStr">
        <is>
          <t>Applies as written; particularly relevant to native software session timeouts and OTP countdown timers.</t>
        </is>
      </c>
      <c r="L35" s="15">
        <f>IF(OR(F35="Pass",F35="Partial",F35="Fail"),1,0)</f>
        <v/>
      </c>
      <c r="M35" s="53" t="n"/>
    </row>
    <row r="36" ht="15.75" customHeight="1" s="78">
      <c r="A36" s="29" t="inlineStr">
        <is>
          <t>2.2.6</t>
        </is>
      </c>
      <c r="B36" s="25" t="inlineStr">
        <is>
          <t>Timeouts (warn of data loss)</t>
        </is>
      </c>
      <c r="C36" s="50" t="inlineStr">
        <is>
          <t>AAA</t>
        </is>
      </c>
      <c r="D36" s="29" t="inlineStr">
        <is>
          <t>Operable</t>
        </is>
      </c>
      <c r="E36" s="42" t="n">
        <v>1</v>
      </c>
      <c r="F36" s="50" t="inlineStr">
        <is>
          <t>Not Tested</t>
        </is>
      </c>
      <c r="G36" s="29">
        <f>IF(F36="Pass",1,IF(F36="Partial",0.5,IF(F36="Fail",0,0)))</f>
        <v/>
      </c>
      <c r="H36" s="33" t="n"/>
      <c r="I36" s="42" t="n"/>
      <c r="J36" s="29">
        <f>E36*G36</f>
        <v/>
      </c>
      <c r="K36" s="46" t="inlineStr">
        <is>
          <t>Applies as written.</t>
        </is>
      </c>
      <c r="L36" s="29">
        <f>IF(OR(F36="Pass",F36="Partial",F36="Fail"),1,0)</f>
        <v/>
      </c>
      <c r="M36" s="57" t="n"/>
    </row>
    <row r="37" ht="15.75" customHeight="1" s="78">
      <c r="A37" s="15" t="inlineStr">
        <is>
          <t>2.5.5</t>
        </is>
      </c>
      <c r="B37" s="11" t="inlineStr">
        <is>
          <t>Target Size (Enhanced, 44x44px)</t>
        </is>
      </c>
      <c r="C37" s="50" t="inlineStr">
        <is>
          <t>AAA</t>
        </is>
      </c>
      <c r="D37" s="15" t="inlineStr">
        <is>
          <t>Operable</t>
        </is>
      </c>
      <c r="E37" s="23" t="n">
        <v>1</v>
      </c>
      <c r="F37" s="50" t="inlineStr">
        <is>
          <t>Not Tested</t>
        </is>
      </c>
      <c r="G37" s="15">
        <f>IF(F37="Pass",1,IF(F37="Partial",0.5,IF(F37="Fail",0,0)))</f>
        <v/>
      </c>
      <c r="H37" s="17" t="n"/>
      <c r="I37" s="23" t="n"/>
      <c r="J37" s="15">
        <f>E37*G37</f>
        <v/>
      </c>
      <c r="K37" s="39" t="inlineStr">
        <is>
          <t>Applies as written to native touch targets.</t>
        </is>
      </c>
      <c r="L37" s="15">
        <f>IF(OR(F37="Pass",F37="Partial",F37="Fail"),1,0)</f>
        <v/>
      </c>
      <c r="M37" s="53" t="n"/>
    </row>
    <row r="38" ht="15.75" customHeight="1" s="78">
      <c r="A38" s="29" t="inlineStr">
        <is>
          <t>3.3.6</t>
        </is>
      </c>
      <c r="B38" s="25" t="inlineStr">
        <is>
          <t>Error Prevention (All)</t>
        </is>
      </c>
      <c r="C38" s="50" t="inlineStr">
        <is>
          <t>AAA</t>
        </is>
      </c>
      <c r="D38" s="29" t="inlineStr">
        <is>
          <t>Understandable</t>
        </is>
      </c>
      <c r="E38" s="42" t="n">
        <v>1</v>
      </c>
      <c r="F38" s="50" t="inlineStr">
        <is>
          <t>Not Tested</t>
        </is>
      </c>
      <c r="G38" s="29">
        <f>IF(F38="Pass",1,IF(F38="Partial",0.5,IF(F38="Fail",0,0)))</f>
        <v/>
      </c>
      <c r="H38" s="33" t="n"/>
      <c r="I38" s="42" t="n"/>
      <c r="J38" s="29">
        <f>E38*G38</f>
        <v/>
      </c>
      <c r="K38" s="46" t="inlineStr">
        <is>
          <t>Applies as written.</t>
        </is>
      </c>
      <c r="L38" s="29">
        <f>IF(OR(F38="Pass",F38="Partial",F38="Fail"),1,0)</f>
        <v/>
      </c>
      <c r="M38" s="57" t="n"/>
    </row>
    <row r="39" ht="15.75" customHeight="1" s="78">
      <c r="A39" s="15" t="inlineStr">
        <is>
          <t>3.3.8</t>
        </is>
      </c>
      <c r="B39" s="11" t="inlineStr">
        <is>
          <t>Accessible Authentication (Enhanced)</t>
        </is>
      </c>
      <c r="C39" s="50" t="inlineStr">
        <is>
          <t>AAA</t>
        </is>
      </c>
      <c r="D39" s="15" t="inlineStr">
        <is>
          <t>Understandable</t>
        </is>
      </c>
      <c r="E39" s="23" t="n">
        <v>1</v>
      </c>
      <c r="F39" s="50" t="inlineStr">
        <is>
          <t>Not Tested</t>
        </is>
      </c>
      <c r="G39" s="15">
        <f>IF(F39="Pass",1,IF(F39="Partial",0.5,IF(F39="Fail",0,0)))</f>
        <v/>
      </c>
      <c r="H39" s="17" t="n"/>
      <c r="I39" s="23" t="n"/>
      <c r="J39" s="15">
        <f>E39*G39</f>
        <v/>
      </c>
      <c r="K39" s="39" t="inlineStr">
        <is>
          <t>Applies as written; added in WCAG 2.2.</t>
        </is>
      </c>
      <c r="L39" s="15">
        <f>IF(OR(F39="Pass",F39="Partial",F39="Fail"),1,0)</f>
        <v/>
      </c>
      <c r="M39" s="53" t="n"/>
    </row>
    <row r="40" ht="15.75" customHeight="1" s="78"/>
    <row r="41" ht="15.75" customHeight="1" s="78">
      <c r="A41" s="91" t="inlineStr">
        <is>
          <t>SCORE SUMMARY</t>
        </is>
      </c>
      <c r="B41" s="92" t="n"/>
      <c r="C41" s="92" t="n"/>
      <c r="D41" s="92" t="n"/>
      <c r="E41" s="92" t="n"/>
      <c r="F41" s="93" t="n"/>
    </row>
    <row r="42" ht="15.75" customHeight="1" s="78">
      <c r="A42" s="94" t="inlineStr">
        <is>
          <t>Weighted score achieved (sum)</t>
        </is>
      </c>
      <c r="B42" s="92" t="n"/>
      <c r="C42" s="92" t="n"/>
      <c r="D42" s="93" t="n"/>
      <c r="E42" s="29">
        <f>SUM(J5:J39)</f>
        <v/>
      </c>
      <c r="F42" s="93" t="n"/>
    </row>
    <row r="43" ht="15.75" customHeight="1" s="78">
      <c r="A43" s="94" t="inlineStr">
        <is>
          <t>Weighted score possible (tested criteria only)</t>
        </is>
      </c>
      <c r="B43" s="92" t="n"/>
      <c r="C43" s="92" t="n"/>
      <c r="D43" s="93" t="n"/>
      <c r="E43" s="29">
        <f>SUMPRODUCT(L5:L39*E5:E39)</f>
        <v/>
      </c>
      <c r="F43" s="93" t="n"/>
    </row>
    <row r="44" ht="15.75" customHeight="1" s="78">
      <c r="A44" s="95" t="inlineStr">
        <is>
          <t>OVERALL ACCESSIBILITY SCORE (0-100)</t>
        </is>
      </c>
      <c r="B44" s="92" t="n"/>
      <c r="C44" s="92" t="n"/>
      <c r="D44" s="93" t="n"/>
      <c r="E44" s="96">
        <f>IFERROR(E42/E43*100,0)</f>
        <v/>
      </c>
      <c r="F44" s="93" t="n"/>
    </row>
    <row r="45" ht="15.75" customHeight="1" s="78">
      <c r="A45" s="94" t="inlineStr">
        <is>
          <t>Level A conformance %</t>
        </is>
      </c>
      <c r="B45" s="92" t="n"/>
      <c r="C45" s="92" t="n"/>
      <c r="D45" s="93" t="n"/>
      <c r="E45" s="97">
        <f>IFERROR(SUMPRODUCT((C5:C39="A")*L5:L39*J5:J39)/SUMPRODUCT((C5:C39="A")*L5:L39*E5:E39)*100,0)</f>
        <v/>
      </c>
      <c r="F45" s="93" t="n"/>
    </row>
    <row r="46" ht="15.75" customHeight="1" s="78">
      <c r="A46" s="94" t="inlineStr">
        <is>
          <t>Level AA conformance % (A+AA criteria)</t>
        </is>
      </c>
      <c r="B46" s="92" t="n"/>
      <c r="C46" s="92" t="n"/>
      <c r="D46" s="93" t="n"/>
      <c r="E46" s="97">
        <f>IFERROR(SUMPRODUCT(((C5:C39="A")+(C5:C39="AA"))*L5:L39*J5:J39)/SUMPRODUCT(((C5:C39="A")+(C5:C39="AA"))*L5:L39*E5:E39)*100,0)</f>
        <v/>
      </c>
      <c r="F46" s="93" t="n"/>
    </row>
    <row r="47" ht="15.75" customHeight="1" s="78">
      <c r="A47" s="94" t="inlineStr">
        <is>
          <t>Criteria rated Fail (count)</t>
        </is>
      </c>
      <c r="B47" s="92" t="n"/>
      <c r="C47" s="92" t="n"/>
      <c r="D47" s="93" t="n"/>
      <c r="E47" s="29">
        <f>COUNTIF(F5:F39,"Fail")</f>
        <v/>
      </c>
      <c r="F47" s="93" t="n"/>
    </row>
    <row r="48" ht="15.75" customHeight="1" s="78">
      <c r="A48" s="94" t="inlineStr">
        <is>
          <t>Criteria rated Not Tested / N/A (count, need manual audit)</t>
        </is>
      </c>
      <c r="B48" s="92" t="n"/>
      <c r="C48" s="92" t="n"/>
      <c r="D48" s="93" t="n"/>
      <c r="E48" s="29">
        <f>COUNTIF(F5:F39,"Not Tested")+COUNTIF(F5:F39,"N/A")</f>
        <v/>
      </c>
      <c r="F48" s="93" t="n"/>
    </row>
    <row r="49" ht="15.75" customHeight="1" s="78">
      <c r="A49" s="95" t="inlineStr">
        <is>
          <t>Rating band</t>
        </is>
      </c>
      <c r="B49" s="92" t="n"/>
      <c r="C49" s="92" t="n"/>
      <c r="D49" s="93" t="n"/>
      <c r="E49" s="22">
        <f>IF(E44&gt;=90,"Level AA-aligned",IF(E44&gt;=75,"Substantially accessible",IF(E44&gt;=50,"Partially accessible - significant barriers",IF(E44&gt;=25,"Largely inaccessible","Inaccessible / excludes blind users"))))</f>
        <v/>
      </c>
      <c r="F49" s="93" t="n"/>
    </row>
    <row r="50" ht="15.75" customHeight="1" s="78"/>
    <row r="51" ht="15.75" customHeight="1" s="78"/>
    <row r="52" ht="15.75" customHeight="1" s="78"/>
    <row r="53" ht="15.75" customHeight="1" s="78"/>
    <row r="54" ht="15.75" customHeight="1" s="78"/>
    <row r="55" ht="15.75" customHeight="1" s="78"/>
    <row r="56" ht="15.75" customHeight="1" s="78"/>
    <row r="57" ht="15.75" customHeight="1" s="78"/>
    <row r="58" ht="15.75" customHeight="1" s="78"/>
    <row r="59" ht="15.75" customHeight="1" s="78"/>
    <row r="60" ht="15.75" customHeight="1" s="78"/>
    <row r="61" ht="15.75" customHeight="1" s="78"/>
    <row r="62" ht="15.75" customHeight="1" s="78"/>
    <row r="63" ht="15.75" customHeight="1" s="78"/>
    <row r="64" ht="15.75" customHeight="1" s="78"/>
    <row r="65" ht="15.75" customHeight="1" s="78"/>
    <row r="66" ht="15.75" customHeight="1" s="78"/>
    <row r="67" ht="15.75" customHeight="1" s="78"/>
    <row r="68" ht="15.75" customHeight="1" s="78"/>
    <row r="69" ht="15.75" customHeight="1" s="78"/>
    <row r="70" ht="15.75" customHeight="1" s="78"/>
    <row r="71" ht="15.75" customHeight="1" s="78"/>
    <row r="72" ht="15.75" customHeight="1" s="78"/>
    <row r="73" ht="15.75" customHeight="1" s="78"/>
    <row r="74" ht="15.75" customHeight="1" s="78"/>
    <row r="75" ht="15.75" customHeight="1" s="78"/>
    <row r="76" ht="15.75" customHeight="1" s="78"/>
    <row r="77" ht="15.75" customHeight="1" s="78"/>
    <row r="78" ht="15.75" customHeight="1" s="78"/>
    <row r="79" ht="15.75" customHeight="1" s="78"/>
    <row r="80" ht="15.75" customHeight="1" s="78"/>
    <row r="81" ht="15.75" customHeight="1" s="78"/>
    <row r="82" ht="15.75" customHeight="1" s="78"/>
    <row r="83" ht="15.75" customHeight="1" s="78"/>
    <row r="84" ht="15.75" customHeight="1" s="78"/>
    <row r="85" ht="15.75" customHeight="1" s="78"/>
    <row r="86" ht="15.75" customHeight="1" s="78"/>
    <row r="87" ht="15.75" customHeight="1" s="78"/>
    <row r="88" ht="15.75" customHeight="1" s="78"/>
    <row r="89" ht="15.75" customHeight="1" s="78"/>
    <row r="90" ht="15.75" customHeight="1" s="78"/>
    <row r="91" ht="15.75" customHeight="1" s="78"/>
    <row r="92" ht="15.75" customHeight="1" s="78"/>
    <row r="93" ht="15.75" customHeight="1" s="78"/>
    <row r="94" ht="15.75" customHeight="1" s="78"/>
    <row r="95" ht="15.75" customHeight="1" s="78"/>
    <row r="96" ht="15.75" customHeight="1" s="78"/>
    <row r="97" ht="15.75" customHeight="1" s="78"/>
    <row r="98" ht="15.75" customHeight="1" s="78"/>
    <row r="99" ht="15.75" customHeight="1" s="78"/>
    <row r="100" ht="15.75" customHeight="1" s="78"/>
    <row r="101" ht="15.75" customHeight="1" s="78"/>
    <row r="102" ht="15.75" customHeight="1" s="78"/>
    <row r="103" ht="15.75" customHeight="1" s="78"/>
    <row r="104" ht="15.75" customHeight="1" s="78"/>
    <row r="105" ht="15.75" customHeight="1" s="78"/>
    <row r="106" ht="15.75" customHeight="1" s="78"/>
    <row r="107" ht="15.75" customHeight="1" s="78"/>
    <row r="108" ht="15.75" customHeight="1" s="78"/>
    <row r="109" ht="15.75" customHeight="1" s="78"/>
    <row r="110" ht="15.75" customHeight="1" s="78"/>
    <row r="111" ht="15.75" customHeight="1" s="78"/>
    <row r="112" ht="15.75" customHeight="1" s="78"/>
    <row r="113" ht="15.75" customHeight="1" s="78"/>
    <row r="114" ht="15.75" customHeight="1" s="78"/>
    <row r="115" ht="15.75" customHeight="1" s="78"/>
    <row r="116" ht="15.75" customHeight="1" s="78"/>
    <row r="117" ht="15.75" customHeight="1" s="78"/>
    <row r="118" ht="15.75" customHeight="1" s="78"/>
    <row r="119" ht="15.75" customHeight="1" s="78"/>
    <row r="120" ht="15.75" customHeight="1" s="78"/>
    <row r="121" ht="15.75" customHeight="1" s="78"/>
    <row r="122" ht="15.75" customHeight="1" s="78"/>
    <row r="123" ht="15.75" customHeight="1" s="78"/>
    <row r="124" ht="15.75" customHeight="1" s="78"/>
    <row r="125" ht="15.75" customHeight="1" s="78"/>
    <row r="126" ht="15.75" customHeight="1" s="78"/>
    <row r="127" ht="15.75" customHeight="1" s="78"/>
    <row r="128" ht="15.75" customHeight="1" s="78"/>
    <row r="129" ht="15.75" customHeight="1" s="78"/>
    <row r="130" ht="15.75" customHeight="1" s="78"/>
    <row r="131" ht="15.75" customHeight="1" s="78"/>
    <row r="132" ht="15.75" customHeight="1" s="78"/>
    <row r="133" ht="15.75" customHeight="1" s="78"/>
    <row r="134" ht="15.75" customHeight="1" s="78"/>
    <row r="135" ht="15.75" customHeight="1" s="78"/>
    <row r="136" ht="15.75" customHeight="1" s="78"/>
    <row r="137" ht="15.75" customHeight="1" s="78"/>
    <row r="138" ht="15.75" customHeight="1" s="78"/>
    <row r="139" ht="15.75" customHeight="1" s="78"/>
    <row r="140" ht="15.75" customHeight="1" s="78"/>
    <row r="141" ht="15.75" customHeight="1" s="78"/>
    <row r="142" ht="15.75" customHeight="1" s="78"/>
    <row r="143" ht="15.75" customHeight="1" s="78"/>
    <row r="144" ht="15.75" customHeight="1" s="78"/>
    <row r="145" ht="15.75" customHeight="1" s="78"/>
    <row r="146" ht="15.75" customHeight="1" s="78"/>
    <row r="147" ht="15.75" customHeight="1" s="78"/>
    <row r="148" ht="15.75" customHeight="1" s="78"/>
    <row r="149" ht="15.75" customHeight="1" s="78"/>
    <row r="150" ht="15.75" customHeight="1" s="78"/>
    <row r="151" ht="15.75" customHeight="1" s="78"/>
    <row r="152" ht="15.75" customHeight="1" s="78"/>
    <row r="153" ht="15.75" customHeight="1" s="78"/>
    <row r="154" ht="15.75" customHeight="1" s="78"/>
    <row r="155" ht="15.75" customHeight="1" s="78"/>
    <row r="156" ht="15.75" customHeight="1" s="78"/>
    <row r="157" ht="15.75" customHeight="1" s="78"/>
    <row r="158" ht="15.75" customHeight="1" s="78"/>
    <row r="159" ht="15.75" customHeight="1" s="78"/>
    <row r="160" ht="15.75" customHeight="1" s="78"/>
    <row r="161" ht="15.75" customHeight="1" s="78"/>
    <row r="162" ht="15.75" customHeight="1" s="78"/>
    <row r="163" ht="15.75" customHeight="1" s="78"/>
    <row r="164" ht="15.75" customHeight="1" s="78"/>
    <row r="165" ht="15.75" customHeight="1" s="78"/>
    <row r="166" ht="15.75" customHeight="1" s="78"/>
    <row r="167" ht="15.75" customHeight="1" s="78"/>
    <row r="168" ht="15.75" customHeight="1" s="78"/>
    <row r="169" ht="15.75" customHeight="1" s="78"/>
    <row r="170" ht="15.75" customHeight="1" s="78"/>
    <row r="171" ht="15.75" customHeight="1" s="78"/>
    <row r="172" ht="15.75" customHeight="1" s="78"/>
    <row r="173" ht="15.75" customHeight="1" s="78"/>
    <row r="174" ht="15.75" customHeight="1" s="78"/>
    <row r="175" ht="15.75" customHeight="1" s="78"/>
    <row r="176" ht="15.75" customHeight="1" s="78"/>
    <row r="177" ht="15.75" customHeight="1" s="78"/>
    <row r="178" ht="15.75" customHeight="1" s="78"/>
    <row r="179" ht="15.75" customHeight="1" s="78"/>
    <row r="180" ht="15.75" customHeight="1" s="78"/>
    <row r="181" ht="15.75" customHeight="1" s="78"/>
    <row r="182" ht="15.75" customHeight="1" s="78"/>
    <row r="183" ht="15.75" customHeight="1" s="78"/>
    <row r="184" ht="15.75" customHeight="1" s="78"/>
    <row r="185" ht="15.75" customHeight="1" s="78"/>
    <row r="186" ht="15.75" customHeight="1" s="78"/>
    <row r="187" ht="15.75" customHeight="1" s="78"/>
    <row r="188" ht="15.75" customHeight="1" s="78"/>
    <row r="189" ht="15.75" customHeight="1" s="78"/>
    <row r="190" ht="15.75" customHeight="1" s="78"/>
    <row r="191" ht="15.75" customHeight="1" s="78"/>
    <row r="192" ht="15.75" customHeight="1" s="78"/>
    <row r="193" ht="15.75" customHeight="1" s="78"/>
    <row r="194" ht="15.75" customHeight="1" s="78"/>
    <row r="195" ht="15.75" customHeight="1" s="78"/>
    <row r="196" ht="15.75" customHeight="1" s="78"/>
    <row r="197" ht="15.75" customHeight="1" s="78"/>
    <row r="198" ht="15.75" customHeight="1" s="78"/>
    <row r="199" ht="15.75" customHeight="1" s="78"/>
    <row r="200" ht="15.75" customHeight="1" s="78"/>
    <row r="201" ht="15.75" customHeight="1" s="78"/>
    <row r="202" ht="15.75" customHeight="1" s="78"/>
    <row r="203" ht="15.75" customHeight="1" s="78"/>
    <row r="204" ht="15.75" customHeight="1" s="78"/>
    <row r="205" ht="15.75" customHeight="1" s="78"/>
    <row r="206" ht="15.75" customHeight="1" s="78"/>
    <row r="207" ht="15.75" customHeight="1" s="78"/>
    <row r="208" ht="15.75" customHeight="1" s="78"/>
    <row r="209" ht="15.75" customHeight="1" s="78"/>
    <row r="210" ht="15.75" customHeight="1" s="78"/>
    <row r="211" ht="15.75" customHeight="1" s="78"/>
    <row r="212" ht="15.75" customHeight="1" s="78"/>
    <row r="213" ht="15.75" customHeight="1" s="78"/>
    <row r="214" ht="15.75" customHeight="1" s="78"/>
    <row r="215" ht="15.75" customHeight="1" s="78"/>
    <row r="216" ht="15.75" customHeight="1" s="78"/>
    <row r="217" ht="15.75" customHeight="1" s="78"/>
    <row r="218" ht="15.75" customHeight="1" s="78"/>
    <row r="219" ht="15.75" customHeight="1" s="78"/>
    <row r="220" ht="15.75" customHeight="1" s="78"/>
    <row r="221" ht="15.75" customHeight="1" s="78"/>
    <row r="222" ht="15.75" customHeight="1" s="78"/>
    <row r="223" ht="15.75" customHeight="1" s="78"/>
    <row r="224" ht="15.75" customHeight="1" s="78"/>
    <row r="225" ht="15.75" customHeight="1" s="78"/>
    <row r="226" ht="15.75" customHeight="1" s="78"/>
    <row r="227" ht="15.75" customHeight="1" s="78"/>
    <row r="228" ht="15.75" customHeight="1" s="78"/>
    <row r="229" ht="15.75" customHeight="1" s="78"/>
    <row r="230" ht="15.75" customHeight="1" s="78"/>
    <row r="231" ht="15.75" customHeight="1" s="78"/>
    <row r="232" ht="15.75" customHeight="1" s="78"/>
    <row r="233" ht="15.75" customHeight="1" s="78"/>
    <row r="234" ht="15.75" customHeight="1" s="78"/>
    <row r="235" ht="15.75" customHeight="1" s="78"/>
    <row r="236" ht="15.75" customHeight="1" s="78"/>
    <row r="237" ht="15.75" customHeight="1" s="78"/>
    <row r="238" ht="15.75" customHeight="1" s="78"/>
    <row r="239" ht="15.75" customHeight="1" s="78"/>
    <row r="240" ht="15.75" customHeight="1" s="78"/>
    <row r="241" ht="15.75" customHeight="1" s="78"/>
    <row r="242" ht="15.75" customHeight="1" s="78"/>
    <row r="243" ht="15.75" customHeight="1" s="78"/>
    <row r="244" ht="15.75" customHeight="1" s="78"/>
    <row r="245" ht="15.75" customHeight="1" s="78"/>
    <row r="246" ht="15.75" customHeight="1" s="78"/>
    <row r="247" ht="15.75" customHeight="1" s="78"/>
    <row r="248" ht="15.75" customHeight="1" s="78"/>
    <row r="249" ht="15.75" customHeight="1" s="78"/>
    <row r="250" ht="15.75" customHeight="1" s="78"/>
    <row r="251" ht="15.75" customHeight="1" s="78"/>
    <row r="252" ht="15.75" customHeight="1" s="78"/>
    <row r="253" ht="15.75" customHeight="1" s="78"/>
    <row r="254" ht="15.75" customHeight="1" s="78"/>
    <row r="255" ht="15.75" customHeight="1" s="78"/>
    <row r="256" ht="15.75" customHeight="1" s="78"/>
    <row r="257" ht="15.75" customHeight="1" s="78"/>
    <row r="258" ht="15.75" customHeight="1" s="78"/>
    <row r="259" ht="15.75" customHeight="1" s="78"/>
    <row r="260" ht="15.75" customHeight="1" s="78"/>
    <row r="261" ht="15.75" customHeight="1" s="78"/>
    <row r="262" ht="15.75" customHeight="1" s="78"/>
    <row r="263" ht="15.75" customHeight="1" s="78"/>
    <row r="264" ht="15.75" customHeight="1" s="78"/>
    <row r="265" ht="15.75" customHeight="1" s="78"/>
    <row r="266" ht="15.75" customHeight="1" s="78"/>
    <row r="267" ht="15.75" customHeight="1" s="78"/>
    <row r="268" ht="15.75" customHeight="1" s="78"/>
    <row r="269" ht="15.75" customHeight="1" s="78"/>
    <row r="270" ht="15.75" customHeight="1" s="78"/>
    <row r="271" ht="15.75" customHeight="1" s="78"/>
    <row r="272" ht="15.75" customHeight="1" s="78"/>
    <row r="273" ht="15.75" customHeight="1" s="78"/>
    <row r="274" ht="15.75" customHeight="1" s="78"/>
    <row r="275" ht="15.75" customHeight="1" s="78"/>
    <row r="276" ht="15.75" customHeight="1" s="78"/>
    <row r="277" ht="15.75" customHeight="1" s="78"/>
    <row r="278" ht="15.75" customHeight="1" s="78"/>
    <row r="279" ht="15.75" customHeight="1" s="78"/>
    <row r="280" ht="15.75" customHeight="1" s="78"/>
    <row r="281" ht="15.75" customHeight="1" s="78"/>
    <row r="282" ht="15.75" customHeight="1" s="78"/>
    <row r="283" ht="15.75" customHeight="1" s="78"/>
    <row r="284" ht="15.75" customHeight="1" s="78"/>
    <row r="285" ht="15.75" customHeight="1" s="78"/>
    <row r="286" ht="15.75" customHeight="1" s="78"/>
    <row r="287" ht="15.75" customHeight="1" s="78"/>
    <row r="288" ht="15.75" customHeight="1" s="78"/>
    <row r="289" ht="15.75" customHeight="1" s="78"/>
    <row r="290" ht="15.75" customHeight="1" s="78"/>
    <row r="291" ht="15.75" customHeight="1" s="78"/>
    <row r="292" ht="15.75" customHeight="1" s="78"/>
    <row r="293" ht="15.75" customHeight="1" s="78"/>
    <row r="294" ht="15.75" customHeight="1" s="78"/>
    <row r="295" ht="15.75" customHeight="1" s="78"/>
    <row r="296" ht="15.75" customHeight="1" s="78"/>
    <row r="297" ht="15.75" customHeight="1" s="78"/>
    <row r="298" ht="15.75" customHeight="1" s="78"/>
    <row r="299" ht="15.75" customHeight="1" s="78"/>
    <row r="300" ht="15.75" customHeight="1" s="78"/>
    <row r="301" ht="15.75" customHeight="1" s="78"/>
    <row r="302" ht="15.75" customHeight="1" s="78"/>
    <row r="303" ht="15.75" customHeight="1" s="78"/>
    <row r="304" ht="15.75" customHeight="1" s="78"/>
    <row r="305" ht="15.75" customHeight="1" s="78"/>
    <row r="306" ht="15.75" customHeight="1" s="78"/>
    <row r="307" ht="15.75" customHeight="1" s="78"/>
    <row r="308" ht="15.75" customHeight="1" s="78"/>
    <row r="309" ht="15.75" customHeight="1" s="78"/>
    <row r="310" ht="15.75" customHeight="1" s="78"/>
    <row r="311" ht="15.75" customHeight="1" s="78"/>
    <row r="312" ht="15.75" customHeight="1" s="78"/>
    <row r="313" ht="15.75" customHeight="1" s="78"/>
    <row r="314" ht="15.75" customHeight="1" s="78"/>
    <row r="315" ht="15.75" customHeight="1" s="78"/>
    <row r="316" ht="15.75" customHeight="1" s="78"/>
    <row r="317" ht="15.75" customHeight="1" s="78"/>
    <row r="318" ht="15.75" customHeight="1" s="78"/>
    <row r="319" ht="15.75" customHeight="1" s="78"/>
    <row r="320" ht="15.75" customHeight="1" s="78"/>
    <row r="321" ht="15.75" customHeight="1" s="78"/>
    <row r="322" ht="15.75" customHeight="1" s="78"/>
    <row r="323" ht="15.75" customHeight="1" s="78"/>
    <row r="324" ht="15.75" customHeight="1" s="78"/>
    <row r="325" ht="15.75" customHeight="1" s="78"/>
    <row r="326" ht="15.75" customHeight="1" s="78"/>
    <row r="327" ht="15.75" customHeight="1" s="78"/>
    <row r="328" ht="15.75" customHeight="1" s="78"/>
    <row r="329" ht="15.75" customHeight="1" s="78"/>
    <row r="330" ht="15.75" customHeight="1" s="78"/>
    <row r="331" ht="15.75" customHeight="1" s="78"/>
    <row r="332" ht="15.75" customHeight="1" s="78"/>
    <row r="333" ht="15.75" customHeight="1" s="78"/>
    <row r="334" ht="15.75" customHeight="1" s="78"/>
    <row r="335" ht="15.75" customHeight="1" s="78"/>
    <row r="336" ht="15.75" customHeight="1" s="78"/>
    <row r="337" ht="15.75" customHeight="1" s="78"/>
    <row r="338" ht="15.75" customHeight="1" s="78"/>
    <row r="339" ht="15.75" customHeight="1" s="78"/>
    <row r="340" ht="15.75" customHeight="1" s="78"/>
    <row r="341" ht="15.75" customHeight="1" s="78"/>
    <row r="342" ht="15.75" customHeight="1" s="78"/>
    <row r="343" ht="15.75" customHeight="1" s="78"/>
    <row r="344" ht="15.75" customHeight="1" s="78"/>
    <row r="345" ht="15.75" customHeight="1" s="78"/>
    <row r="346" ht="15.75" customHeight="1" s="78"/>
    <row r="347" ht="15.75" customHeight="1" s="78"/>
    <row r="348" ht="15.75" customHeight="1" s="78"/>
    <row r="349" ht="15.75" customHeight="1" s="78"/>
    <row r="350" ht="15.75" customHeight="1" s="78"/>
    <row r="351" ht="15.75" customHeight="1" s="78"/>
    <row r="352" ht="15.75" customHeight="1" s="78"/>
    <row r="353" ht="15.75" customHeight="1" s="78"/>
    <row r="354" ht="15.75" customHeight="1" s="78"/>
    <row r="355" ht="15.75" customHeight="1" s="78"/>
    <row r="356" ht="15.75" customHeight="1" s="78"/>
    <row r="357" ht="15.75" customHeight="1" s="78"/>
    <row r="358" ht="15.75" customHeight="1" s="78"/>
    <row r="359" ht="15.75" customHeight="1" s="78"/>
    <row r="360" ht="15.75" customHeight="1" s="78"/>
    <row r="361" ht="15.75" customHeight="1" s="78"/>
    <row r="362" ht="15.75" customHeight="1" s="78"/>
    <row r="363" ht="15.75" customHeight="1" s="78"/>
    <row r="364" ht="15.75" customHeight="1" s="78"/>
    <row r="365" ht="15.75" customHeight="1" s="78"/>
    <row r="366" ht="15.75" customHeight="1" s="78"/>
    <row r="367" ht="15.75" customHeight="1" s="78"/>
    <row r="368" ht="15.75" customHeight="1" s="78"/>
    <row r="369" ht="15.75" customHeight="1" s="78"/>
    <row r="370" ht="15.75" customHeight="1" s="78"/>
    <row r="371" ht="15.75" customHeight="1" s="78"/>
    <row r="372" ht="15.75" customHeight="1" s="78"/>
    <row r="373" ht="15.75" customHeight="1" s="78"/>
    <row r="374" ht="15.75" customHeight="1" s="78"/>
    <row r="375" ht="15.75" customHeight="1" s="78"/>
    <row r="376" ht="15.75" customHeight="1" s="78"/>
    <row r="377" ht="15.75" customHeight="1" s="78"/>
    <row r="378" ht="15.75" customHeight="1" s="78"/>
    <row r="379" ht="15.75" customHeight="1" s="78"/>
    <row r="380" ht="15.75" customHeight="1" s="78"/>
    <row r="381" ht="15.75" customHeight="1" s="78"/>
    <row r="382" ht="15.75" customHeight="1" s="78"/>
    <row r="383" ht="15.75" customHeight="1" s="78"/>
    <row r="384" ht="15.75" customHeight="1" s="78"/>
    <row r="385" ht="15.75" customHeight="1" s="78"/>
    <row r="386" ht="15.75" customHeight="1" s="78"/>
    <row r="387" ht="15.75" customHeight="1" s="78"/>
    <row r="388" ht="15.75" customHeight="1" s="78"/>
    <row r="389" ht="15.75" customHeight="1" s="78"/>
    <row r="390" ht="15.75" customHeight="1" s="78"/>
    <row r="391" ht="15.75" customHeight="1" s="78"/>
    <row r="392" ht="15.75" customHeight="1" s="78"/>
    <row r="393" ht="15.75" customHeight="1" s="78"/>
    <row r="394" ht="15.75" customHeight="1" s="78"/>
    <row r="395" ht="15.75" customHeight="1" s="78"/>
    <row r="396" ht="15.75" customHeight="1" s="78"/>
    <row r="397" ht="15.75" customHeight="1" s="78"/>
    <row r="398" ht="15.75" customHeight="1" s="78"/>
    <row r="399" ht="15.75" customHeight="1" s="78"/>
    <row r="400" ht="15.75" customHeight="1" s="78"/>
    <row r="401" ht="15.75" customHeight="1" s="78"/>
    <row r="402" ht="15.75" customHeight="1" s="78"/>
    <row r="403" ht="15.75" customHeight="1" s="78"/>
    <row r="404" ht="15.75" customHeight="1" s="78"/>
    <row r="405" ht="15.75" customHeight="1" s="78"/>
    <row r="406" ht="15.75" customHeight="1" s="78"/>
    <row r="407" ht="15.75" customHeight="1" s="78"/>
    <row r="408" ht="15.75" customHeight="1" s="78"/>
    <row r="409" ht="15.75" customHeight="1" s="78"/>
    <row r="410" ht="15.75" customHeight="1" s="78"/>
    <row r="411" ht="15.75" customHeight="1" s="78"/>
    <row r="412" ht="15.75" customHeight="1" s="78"/>
    <row r="413" ht="15.75" customHeight="1" s="78"/>
    <row r="414" ht="15.75" customHeight="1" s="78"/>
    <row r="415" ht="15.75" customHeight="1" s="78"/>
    <row r="416" ht="15.75" customHeight="1" s="78"/>
    <row r="417" ht="15.75" customHeight="1" s="78"/>
    <row r="418" ht="15.75" customHeight="1" s="78"/>
    <row r="419" ht="15.75" customHeight="1" s="78"/>
    <row r="420" ht="15.75" customHeight="1" s="78"/>
    <row r="421" ht="15.75" customHeight="1" s="78"/>
    <row r="422" ht="15.75" customHeight="1" s="78"/>
    <row r="423" ht="15.75" customHeight="1" s="78"/>
    <row r="424" ht="15.75" customHeight="1" s="78"/>
    <row r="425" ht="15.75" customHeight="1" s="78"/>
    <row r="426" ht="15.75" customHeight="1" s="78"/>
    <row r="427" ht="15.75" customHeight="1" s="78"/>
    <row r="428" ht="15.75" customHeight="1" s="78"/>
    <row r="429" ht="15.75" customHeight="1" s="78"/>
    <row r="430" ht="15.75" customHeight="1" s="78"/>
    <row r="431" ht="15.75" customHeight="1" s="78"/>
    <row r="432" ht="15.75" customHeight="1" s="78"/>
    <row r="433" ht="15.75" customHeight="1" s="78"/>
    <row r="434" ht="15.75" customHeight="1" s="78"/>
    <row r="435" ht="15.75" customHeight="1" s="78"/>
    <row r="436" ht="15.75" customHeight="1" s="78"/>
    <row r="437" ht="15.75" customHeight="1" s="78"/>
    <row r="438" ht="15.75" customHeight="1" s="78"/>
    <row r="439" ht="15.75" customHeight="1" s="78"/>
    <row r="440" ht="15.75" customHeight="1" s="78"/>
    <row r="441" ht="15.75" customHeight="1" s="78"/>
    <row r="442" ht="15.75" customHeight="1" s="78"/>
    <row r="443" ht="15.75" customHeight="1" s="78"/>
    <row r="444" ht="15.75" customHeight="1" s="78"/>
    <row r="445" ht="15.75" customHeight="1" s="78"/>
    <row r="446" ht="15.75" customHeight="1" s="78"/>
    <row r="447" ht="15.75" customHeight="1" s="78"/>
    <row r="448" ht="15.75" customHeight="1" s="78"/>
    <row r="449" ht="15.75" customHeight="1" s="78"/>
    <row r="450" ht="15.75" customHeight="1" s="78"/>
    <row r="451" ht="15.75" customHeight="1" s="78"/>
    <row r="452" ht="15.75" customHeight="1" s="78"/>
    <row r="453" ht="15.75" customHeight="1" s="78"/>
    <row r="454" ht="15.75" customHeight="1" s="78"/>
    <row r="455" ht="15.75" customHeight="1" s="78"/>
    <row r="456" ht="15.75" customHeight="1" s="78"/>
    <row r="457" ht="15.75" customHeight="1" s="78"/>
    <row r="458" ht="15.75" customHeight="1" s="78"/>
    <row r="459" ht="15.75" customHeight="1" s="78"/>
    <row r="460" ht="15.75" customHeight="1" s="78"/>
    <row r="461" ht="15.75" customHeight="1" s="78"/>
    <row r="462" ht="15.75" customHeight="1" s="78"/>
    <row r="463" ht="15.75" customHeight="1" s="78"/>
    <row r="464" ht="15.75" customHeight="1" s="78"/>
    <row r="465" ht="15.75" customHeight="1" s="78"/>
    <row r="466" ht="15.75" customHeight="1" s="78"/>
    <row r="467" ht="15.75" customHeight="1" s="78"/>
    <row r="468" ht="15.75" customHeight="1" s="78"/>
    <row r="469" ht="15.75" customHeight="1" s="78"/>
    <row r="470" ht="15.75" customHeight="1" s="78"/>
    <row r="471" ht="15.75" customHeight="1" s="78"/>
    <row r="472" ht="15.75" customHeight="1" s="78"/>
    <row r="473" ht="15.75" customHeight="1" s="78"/>
    <row r="474" ht="15.75" customHeight="1" s="78"/>
    <row r="475" ht="15.75" customHeight="1" s="78"/>
    <row r="476" ht="15.75" customHeight="1" s="78"/>
    <row r="477" ht="15.75" customHeight="1" s="78"/>
    <row r="478" ht="15.75" customHeight="1" s="78"/>
    <row r="479" ht="15.75" customHeight="1" s="78"/>
    <row r="480" ht="15.75" customHeight="1" s="78"/>
    <row r="481" ht="15.75" customHeight="1" s="78"/>
    <row r="482" ht="15.75" customHeight="1" s="78"/>
    <row r="483" ht="15.75" customHeight="1" s="78"/>
    <row r="484" ht="15.75" customHeight="1" s="78"/>
    <row r="485" ht="15.75" customHeight="1" s="78"/>
    <row r="486" ht="15.75" customHeight="1" s="78"/>
    <row r="487" ht="15.75" customHeight="1" s="78"/>
    <row r="488" ht="15.75" customHeight="1" s="78"/>
    <row r="489" ht="15.75" customHeight="1" s="78"/>
    <row r="490" ht="15.75" customHeight="1" s="78"/>
    <row r="491" ht="15.75" customHeight="1" s="78"/>
    <row r="492" ht="15.75" customHeight="1" s="78"/>
    <row r="493" ht="15.75" customHeight="1" s="78"/>
    <row r="494" ht="15.75" customHeight="1" s="78"/>
    <row r="495" ht="15.75" customHeight="1" s="78"/>
    <row r="496" ht="15.75" customHeight="1" s="78"/>
    <row r="497" ht="15.75" customHeight="1" s="78"/>
    <row r="498" ht="15.75" customHeight="1" s="78"/>
    <row r="499" ht="15.75" customHeight="1" s="78"/>
    <row r="500" ht="15.75" customHeight="1" s="78"/>
    <row r="501" ht="15.75" customHeight="1" s="78"/>
    <row r="502" ht="15.75" customHeight="1" s="78"/>
    <row r="503" ht="15.75" customHeight="1" s="78"/>
    <row r="504" ht="15.75" customHeight="1" s="78"/>
    <row r="505" ht="15.75" customHeight="1" s="78"/>
    <row r="506" ht="15.75" customHeight="1" s="78"/>
    <row r="507" ht="15.75" customHeight="1" s="78"/>
    <row r="508" ht="15.75" customHeight="1" s="78"/>
    <row r="509" ht="15.75" customHeight="1" s="78"/>
    <row r="510" ht="15.75" customHeight="1" s="78"/>
    <row r="511" ht="15.75" customHeight="1" s="78"/>
    <row r="512" ht="15.75" customHeight="1" s="78"/>
    <row r="513" ht="15.75" customHeight="1" s="78"/>
    <row r="514" ht="15.75" customHeight="1" s="78"/>
    <row r="515" ht="15.75" customHeight="1" s="78"/>
    <row r="516" ht="15.75" customHeight="1" s="78"/>
    <row r="517" ht="15.75" customHeight="1" s="78"/>
    <row r="518" ht="15.75" customHeight="1" s="78"/>
    <row r="519" ht="15.75" customHeight="1" s="78"/>
    <row r="520" ht="15.75" customHeight="1" s="78"/>
    <row r="521" ht="15.75" customHeight="1" s="78"/>
    <row r="522" ht="15.75" customHeight="1" s="78"/>
    <row r="523" ht="15.75" customHeight="1" s="78"/>
    <row r="524" ht="15.75" customHeight="1" s="78"/>
    <row r="525" ht="15.75" customHeight="1" s="78"/>
    <row r="526" ht="15.75" customHeight="1" s="78"/>
    <row r="527" ht="15.75" customHeight="1" s="78"/>
    <row r="528" ht="15.75" customHeight="1" s="78"/>
    <row r="529" ht="15.75" customHeight="1" s="78"/>
    <row r="530" ht="15.75" customHeight="1" s="78"/>
    <row r="531" ht="15.75" customHeight="1" s="78"/>
    <row r="532" ht="15.75" customHeight="1" s="78"/>
    <row r="533" ht="15.75" customHeight="1" s="78"/>
    <row r="534" ht="15.75" customHeight="1" s="78"/>
    <row r="535" ht="15.75" customHeight="1" s="78"/>
    <row r="536" ht="15.75" customHeight="1" s="78"/>
    <row r="537" ht="15.75" customHeight="1" s="78"/>
    <row r="538" ht="15.75" customHeight="1" s="78"/>
    <row r="539" ht="15.75" customHeight="1" s="78"/>
    <row r="540" ht="15.75" customHeight="1" s="78"/>
    <row r="541" ht="15.75" customHeight="1" s="78"/>
    <row r="542" ht="15.75" customHeight="1" s="78"/>
    <row r="543" ht="15.75" customHeight="1" s="78"/>
    <row r="544" ht="15.75" customHeight="1" s="78"/>
    <row r="545" ht="15.75" customHeight="1" s="78"/>
    <row r="546" ht="15.75" customHeight="1" s="78"/>
    <row r="547" ht="15.75" customHeight="1" s="78"/>
    <row r="548" ht="15.75" customHeight="1" s="78"/>
    <row r="549" ht="15.75" customHeight="1" s="78"/>
    <row r="550" ht="15.75" customHeight="1" s="78"/>
    <row r="551" ht="15.75" customHeight="1" s="78"/>
    <row r="552" ht="15.75" customHeight="1" s="78"/>
    <row r="553" ht="15.75" customHeight="1" s="78"/>
    <row r="554" ht="15.75" customHeight="1" s="78"/>
    <row r="555" ht="15.75" customHeight="1" s="78"/>
    <row r="556" ht="15.75" customHeight="1" s="78"/>
    <row r="557" ht="15.75" customHeight="1" s="78"/>
    <row r="558" ht="15.75" customHeight="1" s="78"/>
    <row r="559" ht="15.75" customHeight="1" s="78"/>
    <row r="560" ht="15.75" customHeight="1" s="78"/>
    <row r="561" ht="15.75" customHeight="1" s="78"/>
    <row r="562" ht="15.75" customHeight="1" s="78"/>
    <row r="563" ht="15.75" customHeight="1" s="78"/>
    <row r="564" ht="15.75" customHeight="1" s="78"/>
    <row r="565" ht="15.75" customHeight="1" s="78"/>
    <row r="566" ht="15.75" customHeight="1" s="78"/>
    <row r="567" ht="15.75" customHeight="1" s="78"/>
    <row r="568" ht="15.75" customHeight="1" s="78"/>
    <row r="569" ht="15.75" customHeight="1" s="78"/>
    <row r="570" ht="15.75" customHeight="1" s="78"/>
    <row r="571" ht="15.75" customHeight="1" s="78"/>
    <row r="572" ht="15.75" customHeight="1" s="78"/>
    <row r="573" ht="15.75" customHeight="1" s="78"/>
    <row r="574" ht="15.75" customHeight="1" s="78"/>
    <row r="575" ht="15.75" customHeight="1" s="78"/>
    <row r="576" ht="15.75" customHeight="1" s="78"/>
    <row r="577" ht="15.75" customHeight="1" s="78"/>
    <row r="578" ht="15.75" customHeight="1" s="78"/>
    <row r="579" ht="15.75" customHeight="1" s="78"/>
    <row r="580" ht="15.75" customHeight="1" s="78"/>
    <row r="581" ht="15.75" customHeight="1" s="78"/>
    <row r="582" ht="15.75" customHeight="1" s="78"/>
    <row r="583" ht="15.75" customHeight="1" s="78"/>
    <row r="584" ht="15.75" customHeight="1" s="78"/>
    <row r="585" ht="15.75" customHeight="1" s="78"/>
    <row r="586" ht="15.75" customHeight="1" s="78"/>
    <row r="587" ht="15.75" customHeight="1" s="78"/>
    <row r="588" ht="15.75" customHeight="1" s="78"/>
    <row r="589" ht="15.75" customHeight="1" s="78"/>
    <row r="590" ht="15.75" customHeight="1" s="78"/>
    <row r="591" ht="15.75" customHeight="1" s="78"/>
    <row r="592" ht="15.75" customHeight="1" s="78"/>
    <row r="593" ht="15.75" customHeight="1" s="78"/>
    <row r="594" ht="15.75" customHeight="1" s="78"/>
    <row r="595" ht="15.75" customHeight="1" s="78"/>
    <row r="596" ht="15.75" customHeight="1" s="78"/>
    <row r="597" ht="15.75" customHeight="1" s="78"/>
    <row r="598" ht="15.75" customHeight="1" s="78"/>
    <row r="599" ht="15.75" customHeight="1" s="78"/>
    <row r="600" ht="15.75" customHeight="1" s="78"/>
    <row r="601" ht="15.75" customHeight="1" s="78"/>
    <row r="602" ht="15.75" customHeight="1" s="78"/>
    <row r="603" ht="15.75" customHeight="1" s="78"/>
    <row r="604" ht="15.75" customHeight="1" s="78"/>
    <row r="605" ht="15.75" customHeight="1" s="78"/>
    <row r="606" ht="15.75" customHeight="1" s="78"/>
    <row r="607" ht="15.75" customHeight="1" s="78"/>
    <row r="608" ht="15.75" customHeight="1" s="78"/>
    <row r="609" ht="15.75" customHeight="1" s="78"/>
    <row r="610" ht="15.75" customHeight="1" s="78"/>
    <row r="611" ht="15.75" customHeight="1" s="78"/>
    <row r="612" ht="15.75" customHeight="1" s="78"/>
    <row r="613" ht="15.75" customHeight="1" s="78"/>
    <row r="614" ht="15.75" customHeight="1" s="78"/>
    <row r="615" ht="15.75" customHeight="1" s="78"/>
    <row r="616" ht="15.75" customHeight="1" s="78"/>
    <row r="617" ht="15.75" customHeight="1" s="78"/>
    <row r="618" ht="15.75" customHeight="1" s="78"/>
    <row r="619" ht="15.75" customHeight="1" s="78"/>
    <row r="620" ht="15.75" customHeight="1" s="78"/>
    <row r="621" ht="15.75" customHeight="1" s="78"/>
    <row r="622" ht="15.75" customHeight="1" s="78"/>
    <row r="623" ht="15.75" customHeight="1" s="78"/>
    <row r="624" ht="15.75" customHeight="1" s="78"/>
    <row r="625" ht="15.75" customHeight="1" s="78"/>
    <row r="626" ht="15.75" customHeight="1" s="78"/>
    <row r="627" ht="15.75" customHeight="1" s="78"/>
    <row r="628" ht="15.75" customHeight="1" s="78"/>
    <row r="629" ht="15.75" customHeight="1" s="78"/>
    <row r="630" ht="15.75" customHeight="1" s="78"/>
    <row r="631" ht="15.75" customHeight="1" s="78"/>
    <row r="632" ht="15.75" customHeight="1" s="78"/>
    <row r="633" ht="15.75" customHeight="1" s="78"/>
    <row r="634" ht="15.75" customHeight="1" s="78"/>
    <row r="635" ht="15.75" customHeight="1" s="78"/>
    <row r="636" ht="15.75" customHeight="1" s="78"/>
    <row r="637" ht="15.75" customHeight="1" s="78"/>
    <row r="638" ht="15.75" customHeight="1" s="78"/>
    <row r="639" ht="15.75" customHeight="1" s="78"/>
    <row r="640" ht="15.75" customHeight="1" s="78"/>
    <row r="641" ht="15.75" customHeight="1" s="78"/>
    <row r="642" ht="15.75" customHeight="1" s="78"/>
    <row r="643" ht="15.75" customHeight="1" s="78"/>
    <row r="644" ht="15.75" customHeight="1" s="78"/>
    <row r="645" ht="15.75" customHeight="1" s="78"/>
    <row r="646" ht="15.75" customHeight="1" s="78"/>
    <row r="647" ht="15.75" customHeight="1" s="78"/>
    <row r="648" ht="15.75" customHeight="1" s="78"/>
    <row r="649" ht="15.75" customHeight="1" s="78"/>
    <row r="650" ht="15.75" customHeight="1" s="78"/>
    <row r="651" ht="15.75" customHeight="1" s="78"/>
    <row r="652" ht="15.75" customHeight="1" s="78"/>
    <row r="653" ht="15.75" customHeight="1" s="78"/>
    <row r="654" ht="15.75" customHeight="1" s="78"/>
    <row r="655" ht="15.75" customHeight="1" s="78"/>
    <row r="656" ht="15.75" customHeight="1" s="78"/>
    <row r="657" ht="15.75" customHeight="1" s="78"/>
    <row r="658" ht="15.75" customHeight="1" s="78"/>
    <row r="659" ht="15.75" customHeight="1" s="78"/>
    <row r="660" ht="15.75" customHeight="1" s="78"/>
    <row r="661" ht="15.75" customHeight="1" s="78"/>
    <row r="662" ht="15.75" customHeight="1" s="78"/>
    <row r="663" ht="15.75" customHeight="1" s="78"/>
    <row r="664" ht="15.75" customHeight="1" s="78"/>
    <row r="665" ht="15.75" customHeight="1" s="78"/>
    <row r="666" ht="15.75" customHeight="1" s="78"/>
    <row r="667" ht="15.75" customHeight="1" s="78"/>
    <row r="668" ht="15.75" customHeight="1" s="78"/>
    <row r="669" ht="15.75" customHeight="1" s="78"/>
    <row r="670" ht="15.75" customHeight="1" s="78"/>
    <row r="671" ht="15.75" customHeight="1" s="78"/>
    <row r="672" ht="15.75" customHeight="1" s="78"/>
    <row r="673" ht="15.75" customHeight="1" s="78"/>
    <row r="674" ht="15.75" customHeight="1" s="78"/>
    <row r="675" ht="15.75" customHeight="1" s="78"/>
    <row r="676" ht="15.75" customHeight="1" s="78"/>
    <row r="677" ht="15.75" customHeight="1" s="78"/>
    <row r="678" ht="15.75" customHeight="1" s="78"/>
    <row r="679" ht="15.75" customHeight="1" s="78"/>
    <row r="680" ht="15.75" customHeight="1" s="78"/>
    <row r="681" ht="15.75" customHeight="1" s="78"/>
    <row r="682" ht="15.75" customHeight="1" s="78"/>
    <row r="683" ht="15.75" customHeight="1" s="78"/>
    <row r="684" ht="15.75" customHeight="1" s="78"/>
    <row r="685" ht="15.75" customHeight="1" s="78"/>
    <row r="686" ht="15.75" customHeight="1" s="78"/>
    <row r="687" ht="15.75" customHeight="1" s="78"/>
    <row r="688" ht="15.75" customHeight="1" s="78"/>
    <row r="689" ht="15.75" customHeight="1" s="78"/>
    <row r="690" ht="15.75" customHeight="1" s="78"/>
    <row r="691" ht="15.75" customHeight="1" s="78"/>
    <row r="692" ht="15.75" customHeight="1" s="78"/>
    <row r="693" ht="15.75" customHeight="1" s="78"/>
    <row r="694" ht="15.75" customHeight="1" s="78"/>
    <row r="695" ht="15.75" customHeight="1" s="78"/>
    <row r="696" ht="15.75" customHeight="1" s="78"/>
    <row r="697" ht="15.75" customHeight="1" s="78"/>
    <row r="698" ht="15.75" customHeight="1" s="78"/>
    <row r="699" ht="15.75" customHeight="1" s="78"/>
    <row r="700" ht="15.75" customHeight="1" s="78"/>
    <row r="701" ht="15.75" customHeight="1" s="78"/>
    <row r="702" ht="15.75" customHeight="1" s="78"/>
    <row r="703" ht="15.75" customHeight="1" s="78"/>
    <row r="704" ht="15.75" customHeight="1" s="78"/>
    <row r="705" ht="15.75" customHeight="1" s="78"/>
    <row r="706" ht="15.75" customHeight="1" s="78"/>
    <row r="707" ht="15.75" customHeight="1" s="78"/>
    <row r="708" ht="15.75" customHeight="1" s="78"/>
    <row r="709" ht="15.75" customHeight="1" s="78"/>
    <row r="710" ht="15.75" customHeight="1" s="78"/>
    <row r="711" ht="15.75" customHeight="1" s="78"/>
    <row r="712" ht="15.75" customHeight="1" s="78"/>
    <row r="713" ht="15.75" customHeight="1" s="78"/>
    <row r="714" ht="15.75" customHeight="1" s="78"/>
    <row r="715" ht="15.75" customHeight="1" s="78"/>
    <row r="716" ht="15.75" customHeight="1" s="78"/>
    <row r="717" ht="15.75" customHeight="1" s="78"/>
    <row r="718" ht="15.75" customHeight="1" s="78"/>
    <row r="719" ht="15.75" customHeight="1" s="78"/>
    <row r="720" ht="15.75" customHeight="1" s="78"/>
    <row r="721" ht="15.75" customHeight="1" s="78"/>
    <row r="722" ht="15.75" customHeight="1" s="78"/>
    <row r="723" ht="15.75" customHeight="1" s="78"/>
    <row r="724" ht="15.75" customHeight="1" s="78"/>
    <row r="725" ht="15.75" customHeight="1" s="78"/>
    <row r="726" ht="15.75" customHeight="1" s="78"/>
    <row r="727" ht="15.75" customHeight="1" s="78"/>
    <row r="728" ht="15.75" customHeight="1" s="78"/>
    <row r="729" ht="15.75" customHeight="1" s="78"/>
    <row r="730" ht="15.75" customHeight="1" s="78"/>
    <row r="731" ht="15.75" customHeight="1" s="78"/>
    <row r="732" ht="15.75" customHeight="1" s="78"/>
    <row r="733" ht="15.75" customHeight="1" s="78"/>
    <row r="734" ht="15.75" customHeight="1" s="78"/>
    <row r="735" ht="15.75" customHeight="1" s="78"/>
    <row r="736" ht="15.75" customHeight="1" s="78"/>
    <row r="737" ht="15.75" customHeight="1" s="78"/>
    <row r="738" ht="15.75" customHeight="1" s="78"/>
    <row r="739" ht="15.75" customHeight="1" s="78"/>
    <row r="740" ht="15.75" customHeight="1" s="78"/>
    <row r="741" ht="15.75" customHeight="1" s="78"/>
    <row r="742" ht="15.75" customHeight="1" s="78"/>
    <row r="743" ht="15.75" customHeight="1" s="78"/>
    <row r="744" ht="15.75" customHeight="1" s="78"/>
    <row r="745" ht="15.75" customHeight="1" s="78"/>
    <row r="746" ht="15.75" customHeight="1" s="78"/>
    <row r="747" ht="15.75" customHeight="1" s="78"/>
    <row r="748" ht="15.75" customHeight="1" s="78"/>
    <row r="749" ht="15.75" customHeight="1" s="78"/>
    <row r="750" ht="15.75" customHeight="1" s="78"/>
    <row r="751" ht="15.75" customHeight="1" s="78"/>
    <row r="752" ht="15.75" customHeight="1" s="78"/>
    <row r="753" ht="15.75" customHeight="1" s="78"/>
    <row r="754" ht="15.75" customHeight="1" s="78"/>
    <row r="755" ht="15.75" customHeight="1" s="78"/>
    <row r="756" ht="15.75" customHeight="1" s="78"/>
    <row r="757" ht="15.75" customHeight="1" s="78"/>
    <row r="758" ht="15.75" customHeight="1" s="78"/>
    <row r="759" ht="15.75" customHeight="1" s="78"/>
    <row r="760" ht="15.75" customHeight="1" s="78"/>
    <row r="761" ht="15.75" customHeight="1" s="78"/>
    <row r="762" ht="15.75" customHeight="1" s="78"/>
    <row r="763" ht="15.75" customHeight="1" s="78"/>
    <row r="764" ht="15.75" customHeight="1" s="78"/>
    <row r="765" ht="15.75" customHeight="1" s="78"/>
    <row r="766" ht="15.75" customHeight="1" s="78"/>
    <row r="767" ht="15.75" customHeight="1" s="78"/>
    <row r="768" ht="15.75" customHeight="1" s="78"/>
    <row r="769" ht="15.75" customHeight="1" s="78"/>
    <row r="770" ht="15.75" customHeight="1" s="78"/>
    <row r="771" ht="15.75" customHeight="1" s="78"/>
    <row r="772" ht="15.75" customHeight="1" s="78"/>
    <row r="773" ht="15.75" customHeight="1" s="78"/>
    <row r="774" ht="15.75" customHeight="1" s="78"/>
    <row r="775" ht="15.75" customHeight="1" s="78"/>
    <row r="776" ht="15.75" customHeight="1" s="78"/>
    <row r="777" ht="15.75" customHeight="1" s="78"/>
    <row r="778" ht="15.75" customHeight="1" s="78"/>
    <row r="779" ht="15.75" customHeight="1" s="78"/>
    <row r="780" ht="15.75" customHeight="1" s="78"/>
    <row r="781" ht="15.75" customHeight="1" s="78"/>
    <row r="782" ht="15.75" customHeight="1" s="78"/>
    <row r="783" ht="15.75" customHeight="1" s="78"/>
    <row r="784" ht="15.75" customHeight="1" s="78"/>
    <row r="785" ht="15.75" customHeight="1" s="78"/>
    <row r="786" ht="15.75" customHeight="1" s="78"/>
    <row r="787" ht="15.75" customHeight="1" s="78"/>
    <row r="788" ht="15.75" customHeight="1" s="78"/>
    <row r="789" ht="15.75" customHeight="1" s="78"/>
    <row r="790" ht="15.75" customHeight="1" s="78"/>
    <row r="791" ht="15.75" customHeight="1" s="78"/>
    <row r="792" ht="15.75" customHeight="1" s="78"/>
    <row r="793" ht="15.75" customHeight="1" s="78"/>
    <row r="794" ht="15.75" customHeight="1" s="78"/>
    <row r="795" ht="15.75" customHeight="1" s="78"/>
    <row r="796" ht="15.75" customHeight="1" s="78"/>
    <row r="797" ht="15.75" customHeight="1" s="78"/>
    <row r="798" ht="15.75" customHeight="1" s="78"/>
    <row r="799" ht="15.75" customHeight="1" s="78"/>
    <row r="800" ht="15.75" customHeight="1" s="78"/>
    <row r="801" ht="15.75" customHeight="1" s="78"/>
    <row r="802" ht="15.75" customHeight="1" s="78"/>
    <row r="803" ht="15.75" customHeight="1" s="78"/>
    <row r="804" ht="15.75" customHeight="1" s="78"/>
    <row r="805" ht="15.75" customHeight="1" s="78"/>
    <row r="806" ht="15.75" customHeight="1" s="78"/>
    <row r="807" ht="15.75" customHeight="1" s="78"/>
    <row r="808" ht="15.75" customHeight="1" s="78"/>
    <row r="809" ht="15.75" customHeight="1" s="78"/>
    <row r="810" ht="15.75" customHeight="1" s="78"/>
    <row r="811" ht="15.75" customHeight="1" s="78"/>
    <row r="812" ht="15.75" customHeight="1" s="78"/>
    <row r="813" ht="15.75" customHeight="1" s="78"/>
    <row r="814" ht="15.75" customHeight="1" s="78"/>
    <row r="815" ht="15.75" customHeight="1" s="78"/>
    <row r="816" ht="15.75" customHeight="1" s="78"/>
    <row r="817" ht="15.75" customHeight="1" s="78"/>
    <row r="818" ht="15.75" customHeight="1" s="78"/>
    <row r="819" ht="15.75" customHeight="1" s="78"/>
    <row r="820" ht="15.75" customHeight="1" s="78"/>
    <row r="821" ht="15.75" customHeight="1" s="78"/>
    <row r="822" ht="15.75" customHeight="1" s="78"/>
    <row r="823" ht="15.75" customHeight="1" s="78"/>
    <row r="824" ht="15.75" customHeight="1" s="78"/>
    <row r="825" ht="15.75" customHeight="1" s="78"/>
    <row r="826" ht="15.75" customHeight="1" s="78"/>
    <row r="827" ht="15.75" customHeight="1" s="78"/>
    <row r="828" ht="15.75" customHeight="1" s="78"/>
    <row r="829" ht="15.75" customHeight="1" s="78"/>
    <row r="830" ht="15.75" customHeight="1" s="78"/>
    <row r="831" ht="15.75" customHeight="1" s="78"/>
    <row r="832" ht="15.75" customHeight="1" s="78"/>
    <row r="833" ht="15.75" customHeight="1" s="78"/>
    <row r="834" ht="15.75" customHeight="1" s="78"/>
    <row r="835" ht="15.75" customHeight="1" s="78"/>
    <row r="836" ht="15.75" customHeight="1" s="78"/>
    <row r="837" ht="15.75" customHeight="1" s="78"/>
    <row r="838" ht="15.75" customHeight="1" s="78"/>
    <row r="839" ht="15.75" customHeight="1" s="78"/>
    <row r="840" ht="15.75" customHeight="1" s="78"/>
    <row r="841" ht="15.75" customHeight="1" s="78"/>
    <row r="842" ht="15.75" customHeight="1" s="78"/>
    <row r="843" ht="15.75" customHeight="1" s="78"/>
    <row r="844" ht="15.75" customHeight="1" s="78"/>
    <row r="845" ht="15.75" customHeight="1" s="78"/>
    <row r="846" ht="15.75" customHeight="1" s="78"/>
    <row r="847" ht="15.75" customHeight="1" s="78"/>
    <row r="848" ht="15.75" customHeight="1" s="78"/>
    <row r="849" ht="15.75" customHeight="1" s="78"/>
    <row r="850" ht="15.75" customHeight="1" s="78"/>
    <row r="851" ht="15.75" customHeight="1" s="78"/>
    <row r="852" ht="15.75" customHeight="1" s="78"/>
    <row r="853" ht="15.75" customHeight="1" s="78"/>
    <row r="854" ht="15.75" customHeight="1" s="78"/>
    <row r="855" ht="15.75" customHeight="1" s="78"/>
    <row r="856" ht="15.75" customHeight="1" s="78"/>
    <row r="857" ht="15.75" customHeight="1" s="78"/>
    <row r="858" ht="15.75" customHeight="1" s="78"/>
    <row r="859" ht="15.75" customHeight="1" s="78"/>
    <row r="860" ht="15.75" customHeight="1" s="78"/>
    <row r="861" ht="15.75" customHeight="1" s="78"/>
    <row r="862" ht="15.75" customHeight="1" s="78"/>
    <row r="863" ht="15.75" customHeight="1" s="78"/>
    <row r="864" ht="15.75" customHeight="1" s="78"/>
    <row r="865" ht="15.75" customHeight="1" s="78"/>
    <row r="866" ht="15.75" customHeight="1" s="78"/>
    <row r="867" ht="15.75" customHeight="1" s="78"/>
    <row r="868" ht="15.75" customHeight="1" s="78"/>
    <row r="869" ht="15.75" customHeight="1" s="78"/>
    <row r="870" ht="15.75" customHeight="1" s="78"/>
    <row r="871" ht="15.75" customHeight="1" s="78"/>
    <row r="872" ht="15.75" customHeight="1" s="78"/>
    <row r="873" ht="15.75" customHeight="1" s="78"/>
    <row r="874" ht="15.75" customHeight="1" s="78"/>
    <row r="875" ht="15.75" customHeight="1" s="78"/>
    <row r="876" ht="15.75" customHeight="1" s="78"/>
    <row r="877" ht="15.75" customHeight="1" s="78"/>
    <row r="878" ht="15.75" customHeight="1" s="78"/>
    <row r="879" ht="15.75" customHeight="1" s="78"/>
    <row r="880" ht="15.75" customHeight="1" s="78"/>
    <row r="881" ht="15.75" customHeight="1" s="78"/>
    <row r="882" ht="15.75" customHeight="1" s="78"/>
    <row r="883" ht="15.75" customHeight="1" s="78"/>
    <row r="884" ht="15.75" customHeight="1" s="78"/>
    <row r="885" ht="15.75" customHeight="1" s="78"/>
    <row r="886" ht="15.75" customHeight="1" s="78"/>
    <row r="887" ht="15.75" customHeight="1" s="78"/>
    <row r="888" ht="15.75" customHeight="1" s="78"/>
    <row r="889" ht="15.75" customHeight="1" s="78"/>
    <row r="890" ht="15.75" customHeight="1" s="78"/>
    <row r="891" ht="15.75" customHeight="1" s="78"/>
    <row r="892" ht="15.75" customHeight="1" s="78"/>
    <row r="893" ht="15.75" customHeight="1" s="78"/>
    <row r="894" ht="15.75" customHeight="1" s="78"/>
    <row r="895" ht="15.75" customHeight="1" s="78"/>
    <row r="896" ht="15.75" customHeight="1" s="78"/>
    <row r="897" ht="15.75" customHeight="1" s="78"/>
    <row r="898" ht="15.75" customHeight="1" s="78"/>
    <row r="899" ht="15.75" customHeight="1" s="78"/>
    <row r="900" ht="15.75" customHeight="1" s="78"/>
    <row r="901" ht="15.75" customHeight="1" s="78"/>
    <row r="902" ht="15.75" customHeight="1" s="78"/>
    <row r="903" ht="15.75" customHeight="1" s="78"/>
    <row r="904" ht="15.75" customHeight="1" s="78"/>
    <row r="905" ht="15.75" customHeight="1" s="78"/>
    <row r="906" ht="15.75" customHeight="1" s="78"/>
    <row r="907" ht="15.75" customHeight="1" s="78"/>
    <row r="908" ht="15.75" customHeight="1" s="78"/>
    <row r="909" ht="15.75" customHeight="1" s="78"/>
    <row r="910" ht="15.75" customHeight="1" s="78"/>
    <row r="911" ht="15.75" customHeight="1" s="78"/>
    <row r="912" ht="15.75" customHeight="1" s="78"/>
    <row r="913" ht="15.75" customHeight="1" s="78"/>
    <row r="914" ht="15.75" customHeight="1" s="78"/>
    <row r="915" ht="15.75" customHeight="1" s="78"/>
    <row r="916" ht="15.75" customHeight="1" s="78"/>
    <row r="917" ht="15.75" customHeight="1" s="78"/>
    <row r="918" ht="15.75" customHeight="1" s="78"/>
    <row r="919" ht="15.75" customHeight="1" s="78"/>
    <row r="920" ht="15.75" customHeight="1" s="78"/>
    <row r="921" ht="15.75" customHeight="1" s="78"/>
    <row r="922" ht="15.75" customHeight="1" s="78"/>
    <row r="923" ht="15.75" customHeight="1" s="78"/>
    <row r="924" ht="15.75" customHeight="1" s="78"/>
    <row r="925" ht="15.75" customHeight="1" s="78"/>
    <row r="926" ht="15.75" customHeight="1" s="78"/>
    <row r="927" ht="15.75" customHeight="1" s="78"/>
    <row r="928" ht="15.75" customHeight="1" s="78"/>
    <row r="929" ht="15.75" customHeight="1" s="78"/>
    <row r="930" ht="15.75" customHeight="1" s="78"/>
    <row r="931" ht="15.75" customHeight="1" s="78"/>
    <row r="932" ht="15.75" customHeight="1" s="78"/>
    <row r="933" ht="15.75" customHeight="1" s="78"/>
    <row r="934" ht="15.75" customHeight="1" s="78"/>
    <row r="935" ht="15.75" customHeight="1" s="78"/>
    <row r="936" ht="15.75" customHeight="1" s="78"/>
    <row r="937" ht="15.75" customHeight="1" s="78"/>
    <row r="938" ht="15.75" customHeight="1" s="78"/>
    <row r="939" ht="15.75" customHeight="1" s="78"/>
    <row r="940" ht="15.75" customHeight="1" s="78"/>
    <row r="941" ht="15.75" customHeight="1" s="78"/>
    <row r="942" ht="15.75" customHeight="1" s="78"/>
    <row r="943" ht="15.75" customHeight="1" s="78"/>
    <row r="944" ht="15.75" customHeight="1" s="78"/>
    <row r="945" ht="15.75" customHeight="1" s="78"/>
    <row r="946" ht="15.75" customHeight="1" s="78"/>
    <row r="947" ht="15.75" customHeight="1" s="78"/>
    <row r="948" ht="15.75" customHeight="1" s="78"/>
    <row r="949" ht="15.75" customHeight="1" s="78"/>
    <row r="950" ht="15.75" customHeight="1" s="78"/>
    <row r="951" ht="15.75" customHeight="1" s="78"/>
    <row r="952" ht="15.75" customHeight="1" s="78"/>
    <row r="953" ht="15.75" customHeight="1" s="78"/>
    <row r="954" ht="15.75" customHeight="1" s="78"/>
    <row r="955" ht="15.75" customHeight="1" s="78"/>
    <row r="956" ht="15.75" customHeight="1" s="78"/>
    <row r="957" ht="15.75" customHeight="1" s="78"/>
    <row r="958" ht="15.75" customHeight="1" s="78"/>
    <row r="959" ht="15.75" customHeight="1" s="78"/>
    <row r="960" ht="15.75" customHeight="1" s="78"/>
    <row r="961" ht="15.75" customHeight="1" s="78"/>
    <row r="962" ht="15.75" customHeight="1" s="78"/>
    <row r="963" ht="15.75" customHeight="1" s="78"/>
    <row r="964" ht="15.75" customHeight="1" s="78"/>
    <row r="965" ht="15.75" customHeight="1" s="78"/>
    <row r="966" ht="15.75" customHeight="1" s="78"/>
    <row r="967" ht="15.75" customHeight="1" s="78"/>
    <row r="968" ht="15.75" customHeight="1" s="78"/>
    <row r="969" ht="15.75" customHeight="1" s="78"/>
    <row r="970" ht="15.75" customHeight="1" s="78"/>
    <row r="971" ht="15.75" customHeight="1" s="78"/>
    <row r="972" ht="15.75" customHeight="1" s="78"/>
    <row r="973" ht="15.75" customHeight="1" s="78"/>
    <row r="974" ht="15.75" customHeight="1" s="78"/>
    <row r="975" ht="15.75" customHeight="1" s="78"/>
    <row r="976" ht="15.75" customHeight="1" s="78"/>
    <row r="977" ht="15.75" customHeight="1" s="78"/>
    <row r="978" ht="15.75" customHeight="1" s="78"/>
    <row r="979" ht="15.75" customHeight="1" s="78"/>
    <row r="980" ht="15.75" customHeight="1" s="78"/>
    <row r="981" ht="15.75" customHeight="1" s="78"/>
    <row r="982" ht="15.75" customHeight="1" s="78"/>
    <row r="983" ht="15.75" customHeight="1" s="78"/>
    <row r="984" ht="15.75" customHeight="1" s="78"/>
    <row r="985" ht="15.75" customHeight="1" s="78"/>
    <row r="986" ht="15.75" customHeight="1" s="78"/>
    <row r="987" ht="15.75" customHeight="1" s="78"/>
    <row r="988" ht="15.75" customHeight="1" s="78"/>
    <row r="989" ht="15.75" customHeight="1" s="78"/>
    <row r="990" ht="15.75" customHeight="1" s="78"/>
    <row r="991" ht="15.75" customHeight="1" s="78"/>
    <row r="992" ht="15.75" customHeight="1" s="78"/>
    <row r="993" ht="15.75" customHeight="1" s="78"/>
    <row r="994" ht="15.75" customHeight="1" s="78"/>
    <row r="995" ht="15.75" customHeight="1" s="78"/>
    <row r="996" ht="15.75" customHeight="1" s="78"/>
    <row r="997" ht="15.75" customHeight="1" s="78"/>
    <row r="998" ht="15.75" customHeight="1" s="78"/>
    <row r="999" ht="15.75" customHeight="1" s="78"/>
    <row r="1000" ht="15.75" customHeight="1" s="78"/>
  </sheetData>
  <mergeCells count="19">
    <mergeCell ref="A41:F41"/>
    <mergeCell ref="E43:F43"/>
    <mergeCell ref="E42:F42"/>
    <mergeCell ref="A43:D43"/>
    <mergeCell ref="E48:F48"/>
    <mergeCell ref="E44:F44"/>
    <mergeCell ref="A44:D44"/>
    <mergeCell ref="A48:D48"/>
    <mergeCell ref="A49:D49"/>
    <mergeCell ref="A45:D45"/>
    <mergeCell ref="E46:F46"/>
    <mergeCell ref="E49:F49"/>
    <mergeCell ref="E45:F45"/>
    <mergeCell ref="A46:D46"/>
    <mergeCell ref="A1:F1"/>
    <mergeCell ref="A47:D47"/>
    <mergeCell ref="A42:D42"/>
    <mergeCell ref="A2:M2"/>
    <mergeCell ref="E47:F47"/>
  </mergeCells>
  <dataValidations count="1">
    <dataValidation sqref="F5:F39" showDropDown="0" showInputMessage="0" showErrorMessage="0" allowBlank="1" type="list">
      <formula1>"Pass,Partial,Fail,Not Tested,N/A"</formula1>
    </dataValidation>
  </dataValidations>
  <pageMargins left="0.75" right="0.75" top="1" bottom="1" header="0" footer="0"/>
  <pageSetup orientation="landscape" fitToHeight="0"/>
</worksheet>
</file>

<file path=xl/worksheets/sheet15.xml><?xml version="1.0" encoding="utf-8"?>
<worksheet xmlns="http://schemas.openxmlformats.org/spreadsheetml/2006/main">
  <sheetPr>
    <outlinePr summaryBelow="1" summaryRight="1"/>
    <pageSetUpPr fitToPage="1"/>
  </sheetPr>
  <dimension ref="A1:J22"/>
  <sheetViews>
    <sheetView showGridLines="0" workbookViewId="0">
      <pane ySplit="4" topLeftCell="A5" activePane="bottomLeft" state="frozen"/>
      <selection pane="bottomLeft" activeCell="B6" sqref="B6"/>
    </sheetView>
  </sheetViews>
  <sheetFormatPr baseColWidth="8" defaultColWidth="14.43" defaultRowHeight="15" customHeight="1"/>
  <cols>
    <col width="6" customWidth="1" style="78" min="1" max="1"/>
    <col width="46" customWidth="1" style="78" min="2" max="2"/>
    <col width="26" customWidth="1" style="78" min="3" max="3"/>
    <col width="9" customWidth="1" style="78" min="4" max="4"/>
    <col width="11" customWidth="1" style="78" min="5" max="5"/>
    <col width="9" customWidth="1" style="78" min="6" max="6"/>
    <col width="40" customWidth="1" style="78" min="7" max="7"/>
    <col width="11" customWidth="1" style="78" min="8" max="8"/>
    <col width="8" customWidth="1" style="78" min="9" max="9"/>
    <col width="50" customWidth="1" style="78" min="10" max="10"/>
    <col width="8.710000000000001" customWidth="1" style="78" min="11" max="26"/>
  </cols>
  <sheetData>
    <row r="1">
      <c r="A1" s="76" t="inlineStr">
        <is>
          <t>Financial Transaction Accessibility (Supplemental) — App Template</t>
        </is>
      </c>
    </row>
    <row r="2" ht="15" customHeight="1" s="78">
      <c r="A2" s="6" t="inlineStr">
        <is>
          <t>Not part of WCAG. Grounded in GSMA Mobile Money Accessibility Guidelines, ITU-T F.921, and EN 301 549's authentication / real-time-transaction clauses. Blue cells are inputs.</t>
        </is>
      </c>
    </row>
    <row r="4" ht="30" customHeight="1" s="78">
      <c r="A4" s="8" t="inlineStr">
        <is>
          <t>Ref</t>
        </is>
      </c>
      <c r="B4" s="8" t="inlineStr">
        <is>
          <t>Check</t>
        </is>
      </c>
      <c r="C4" s="8" t="inlineStr">
        <is>
          <t>Standard reference</t>
        </is>
      </c>
      <c r="D4" s="8" t="inlineStr">
        <is>
          <t>Weight
(1-3)</t>
        </is>
      </c>
      <c r="E4" s="8" t="inlineStr">
        <is>
          <t>Status</t>
        </is>
      </c>
      <c r="F4" s="8" t="inlineStr">
        <is>
          <t>Status
score</t>
        </is>
      </c>
      <c r="G4" s="8" t="inlineStr">
        <is>
          <t>Notes / Evidence</t>
        </is>
      </c>
      <c r="H4" s="8" t="inlineStr">
        <is>
          <t>Weighted
score</t>
        </is>
      </c>
      <c r="I4" s="18" t="inlineStr">
        <is>
          <t>Tested?</t>
        </is>
      </c>
      <c r="J4" s="8" t="inlineStr">
        <is>
          <t>Recommended Improvement</t>
        </is>
      </c>
    </row>
    <row r="5">
      <c r="A5" s="10" t="inlineStr">
        <is>
          <t>T1</t>
        </is>
      </c>
      <c r="B5" s="17" t="inlineStr">
        <is>
          <t>Transaction confirmation screen states recipient, amount, currency and fee as one clear announced statement before an irreversible send.</t>
        </is>
      </c>
      <c r="C5" s="39" t="inlineStr">
        <is>
          <t>WCAG 3.3.4; GSMA MM Accessibility Guideline 4.2</t>
        </is>
      </c>
      <c r="D5" s="23" t="n">
        <v>3</v>
      </c>
      <c r="E5" s="50" t="inlineStr">
        <is>
          <t>Not Tested</t>
        </is>
      </c>
      <c r="F5" s="15">
        <f>IF(E5="Pass",1,IF(E5="Partial",0.5,IF(E5="Fail",0,0)))</f>
        <v/>
      </c>
      <c r="G5" s="17" t="n"/>
      <c r="H5" s="15">
        <f>D5*F5</f>
        <v/>
      </c>
      <c r="I5" s="15">
        <f>IF(OR(E5="Pass",E5="Partial",E5="Fail"),1,0)</f>
        <v/>
      </c>
      <c r="J5" s="53" t="n"/>
    </row>
    <row r="6">
      <c r="A6" s="22" t="inlineStr">
        <is>
          <t>T2</t>
        </is>
      </c>
      <c r="B6" s="33" t="inlineStr">
        <is>
          <t>Time allowed to enter an OTP/PIN or confirm a transfer can be extended, and is not so short that assistive-tech input causes failure.</t>
        </is>
      </c>
      <c r="C6" s="46" t="inlineStr">
        <is>
          <t>WCAG 2.2.1; EN 301 549 §11.7</t>
        </is>
      </c>
      <c r="D6" s="42" t="n">
        <v>2</v>
      </c>
      <c r="E6" s="50" t="inlineStr">
        <is>
          <t>Not Tested</t>
        </is>
      </c>
      <c r="F6" s="29">
        <f>IF(E6="Pass",1,IF(E6="Partial",0.5,IF(E6="Fail",0,0)))</f>
        <v/>
      </c>
      <c r="G6" s="33" t="n"/>
      <c r="H6" s="29">
        <f>D6*F6</f>
        <v/>
      </c>
      <c r="I6" s="29">
        <f>IF(OR(E6="Pass",E6="Partial",E6="Fail"),1,0)</f>
        <v/>
      </c>
      <c r="J6" s="57" t="n"/>
    </row>
    <row r="7">
      <c r="A7" s="10" t="inlineStr">
        <is>
          <t>T3</t>
        </is>
      </c>
      <c r="B7" s="17" t="inlineStr">
        <is>
          <t>Transaction success or failure is announced non-visually (spoken/haptic), not only as an on-screen toast.</t>
        </is>
      </c>
      <c r="C7" s="39" t="inlineStr">
        <is>
          <t>WCAG 4.1.3; GSMA MM Accessibility Guideline 4.4</t>
        </is>
      </c>
      <c r="D7" s="23" t="n">
        <v>3</v>
      </c>
      <c r="E7" s="50" t="inlineStr">
        <is>
          <t>Not Tested</t>
        </is>
      </c>
      <c r="F7" s="15">
        <f>IF(E7="Pass",1,IF(E7="Partial",0.5,IF(E7="Fail",0,0)))</f>
        <v/>
      </c>
      <c r="G7" s="17" t="n"/>
      <c r="H7" s="15">
        <f>D7*F7</f>
        <v/>
      </c>
      <c r="I7" s="15">
        <f>IF(OR(E7="Pass",E7="Partial",E7="Fail"),1,0)</f>
        <v/>
      </c>
      <c r="J7" s="53" t="n"/>
    </row>
    <row r="8">
      <c r="A8" s="22" t="inlineStr">
        <is>
          <t>T4</t>
        </is>
      </c>
      <c r="B8" s="33" t="inlineStr">
        <is>
          <t>Digital receipts / statements (SMS, email, in-app PDF) are delivered as accessible text, not a flattened image.</t>
        </is>
      </c>
      <c r="C8" s="46" t="inlineStr">
        <is>
          <t>GSMA MM Accessibility Guideline 5.1</t>
        </is>
      </c>
      <c r="D8" s="42" t="n">
        <v>2</v>
      </c>
      <c r="E8" s="50" t="inlineStr">
        <is>
          <t>Not Tested</t>
        </is>
      </c>
      <c r="F8" s="29">
        <f>IF(E8="Pass",1,IF(E8="Partial",0.5,IF(E8="Fail",0,0)))</f>
        <v/>
      </c>
      <c r="G8" s="33" t="n"/>
      <c r="H8" s="29">
        <f>D8*F8</f>
        <v/>
      </c>
      <c r="I8" s="29">
        <f>IF(OR(E8="Pass",E8="Partial",E8="Fail"),1,0)</f>
        <v/>
      </c>
      <c r="J8" s="57" t="n"/>
    </row>
    <row r="9">
      <c r="A9" s="10" t="inlineStr">
        <is>
          <t>T5</t>
        </is>
      </c>
      <c r="B9" s="17" t="inlineStr">
        <is>
          <t>Amounts and currency are unambiguous when read aloud (e.g. 'RWF 1,000' is not mis-announced as a date or misread digit-by-digit).</t>
        </is>
      </c>
      <c r="C9" s="39" t="inlineStr">
        <is>
          <t>ITU-T F.921 §6.3</t>
        </is>
      </c>
      <c r="D9" s="23" t="n">
        <v>2</v>
      </c>
      <c r="E9" s="50" t="inlineStr">
        <is>
          <t>Not Tested</t>
        </is>
      </c>
      <c r="F9" s="15">
        <f>IF(E9="Pass",1,IF(E9="Partial",0.5,IF(E9="Fail",0,0)))</f>
        <v/>
      </c>
      <c r="G9" s="17" t="n"/>
      <c r="H9" s="15">
        <f>D9*F9</f>
        <v/>
      </c>
      <c r="I9" s="15">
        <f>IF(OR(E9="Pass",E9="Partial",E9="Fail"),1,0)</f>
        <v/>
      </c>
      <c r="J9" s="53" t="n"/>
    </row>
    <row r="10">
      <c r="A10" s="22" t="inlineStr">
        <is>
          <t>T6</t>
        </is>
      </c>
      <c r="B10" s="33" t="inlineStr">
        <is>
          <t>A non-touchscreen channel (USSD, IVR, or agent-assisted banking) exists for users who cannot operate a smartphone app, and that channel is itself usable non-visually.</t>
        </is>
      </c>
      <c r="C10" s="46" t="inlineStr">
        <is>
          <t>GSMA MM Accessibility Guideline 2.1; ITU-D digital financial inclusion guidance</t>
        </is>
      </c>
      <c r="D10" s="42" t="n">
        <v>3</v>
      </c>
      <c r="E10" s="50" t="inlineStr">
        <is>
          <t>Not Tested</t>
        </is>
      </c>
      <c r="F10" s="29">
        <f>IF(E10="Pass",1,IF(E10="Partial",0.5,IF(E10="Fail",0,0)))</f>
        <v/>
      </c>
      <c r="G10" s="33" t="n"/>
      <c r="H10" s="29">
        <f>D10*F10</f>
        <v/>
      </c>
      <c r="I10" s="29">
        <f>IF(OR(E10="Pass",E10="Partial",E10="Fail"),1,0)</f>
        <v/>
      </c>
      <c r="J10" s="57" t="n"/>
    </row>
    <row r="11">
      <c r="A11" s="10" t="inlineStr">
        <is>
          <t>T7</t>
        </is>
      </c>
      <c r="B11" s="17" t="inlineStr">
        <is>
          <t>Biometric login is offered as an alternative to a spoken/visible PIN.</t>
        </is>
      </c>
      <c r="C11" s="39" t="inlineStr">
        <is>
          <t>WCAG 3.3.7/3.3.8</t>
        </is>
      </c>
      <c r="D11" s="23" t="n">
        <v>2</v>
      </c>
      <c r="E11" s="50" t="inlineStr">
        <is>
          <t>Not Tested</t>
        </is>
      </c>
      <c r="F11" s="15">
        <f>IF(E11="Pass",1,IF(E11="Partial",0.5,IF(E11="Fail",0,0)))</f>
        <v/>
      </c>
      <c r="G11" s="17" t="n"/>
      <c r="H11" s="15">
        <f>D11*F11</f>
        <v/>
      </c>
      <c r="I11" s="15">
        <f>IF(OR(E11="Pass",E11="Partial",E11="Fail"),1,0)</f>
        <v/>
      </c>
      <c r="J11" s="53" t="n"/>
    </row>
    <row r="12">
      <c r="A12" s="22" t="inlineStr">
        <is>
          <t>T8</t>
        </is>
      </c>
      <c r="B12" s="33" t="inlineStr">
        <is>
          <t>Fraud/security alerts and a dispute or help-escalation path are reachable and readable with a screen reader.</t>
        </is>
      </c>
      <c r="C12" s="46" t="inlineStr">
        <is>
          <t>EN 301 549 §11.8; GSMA MM Accessibility Guideline 4.5</t>
        </is>
      </c>
      <c r="D12" s="42" t="n">
        <v>2</v>
      </c>
      <c r="E12" s="50" t="inlineStr">
        <is>
          <t>Not Tested</t>
        </is>
      </c>
      <c r="F12" s="29">
        <f>IF(E12="Pass",1,IF(E12="Partial",0.5,IF(E12="Fail",0,0)))</f>
        <v/>
      </c>
      <c r="G12" s="33" t="n"/>
      <c r="H12" s="29">
        <f>D12*F12</f>
        <v/>
      </c>
      <c r="I12" s="29">
        <f>IF(OR(E12="Pass",E12="Partial",E12="Fail"),1,0)</f>
        <v/>
      </c>
      <c r="J12" s="57" t="n"/>
    </row>
    <row r="13">
      <c r="A13" s="10" t="inlineStr">
        <is>
          <t>T9</t>
        </is>
      </c>
      <c r="B13" s="17" t="inlineStr">
        <is>
          <t>Transaction limits, fees and exchange rates are disclosed as accessible text before confirmation, not only visually.</t>
        </is>
      </c>
      <c r="C13" s="39" t="inlineStr">
        <is>
          <t>WCAG 3.3.4; consumer-protection disclosure norms (e.g. AFI / GSMA)</t>
        </is>
      </c>
      <c r="D13" s="23" t="n">
        <v>3</v>
      </c>
      <c r="E13" s="50" t="inlineStr">
        <is>
          <t>Not Tested</t>
        </is>
      </c>
      <c r="F13" s="15">
        <f>IF(E13="Pass",1,IF(E13="Partial",0.5,IF(E13="Fail",0,0)))</f>
        <v/>
      </c>
      <c r="G13" s="17" t="n"/>
      <c r="H13" s="15">
        <f>D13*F13</f>
        <v/>
      </c>
      <c r="I13" s="15">
        <f>IF(OR(E13="Pass",E13="Partial",E13="Fail"),1,0)</f>
        <v/>
      </c>
      <c r="J13" s="53" t="n"/>
    </row>
    <row r="14">
      <c r="A14" s="22" t="inlineStr">
        <is>
          <t>T10</t>
        </is>
      </c>
      <c r="B14" s="33" t="inlineStr">
        <is>
          <t>A multi-step transaction does not require re-entering the same information (e.g. phone number typed once, reused for confirmation).</t>
        </is>
      </c>
      <c r="C14" s="46" t="inlineStr">
        <is>
          <t>WCAG 3.3.9</t>
        </is>
      </c>
      <c r="D14" s="42" t="n">
        <v>1</v>
      </c>
      <c r="E14" s="50" t="inlineStr">
        <is>
          <t>Not Tested</t>
        </is>
      </c>
      <c r="F14" s="29">
        <f>IF(E14="Pass",1,IF(E14="Partial",0.5,IF(E14="Fail",0,0)))</f>
        <v/>
      </c>
      <c r="G14" s="33" t="n"/>
      <c r="H14" s="29">
        <f>D14*F14</f>
        <v/>
      </c>
      <c r="I14" s="29">
        <f>IF(OR(E14="Pass",E14="Partial",E14="Fail"),1,0)</f>
        <v/>
      </c>
      <c r="J14" s="57" t="n"/>
    </row>
    <row r="15">
      <c r="A15" s="10" t="inlineStr">
        <is>
          <t>T11</t>
        </is>
      </c>
      <c r="B15" s="17" t="inlineStr">
        <is>
          <t>Switching app language does not reset or lose an in-progress transaction, and the switcher itself is screen-reader accessible.</t>
        </is>
      </c>
      <c r="C15" s="39" t="inlineStr">
        <is>
          <t>WCAG 3.1.2; EN 301 549 §11.9</t>
        </is>
      </c>
      <c r="D15" s="23" t="n">
        <v>1</v>
      </c>
      <c r="E15" s="50" t="inlineStr">
        <is>
          <t>Not Tested</t>
        </is>
      </c>
      <c r="F15" s="15">
        <f>IF(E15="Pass",1,IF(E15="Partial",0.5,IF(E15="Fail",0,0)))</f>
        <v/>
      </c>
      <c r="G15" s="17" t="n"/>
      <c r="H15" s="15">
        <f>D15*F15</f>
        <v/>
      </c>
      <c r="I15" s="15">
        <f>IF(OR(E15="Pass",E15="Partial",E15="Fail"),1,0)</f>
        <v/>
      </c>
      <c r="J15" s="53" t="n"/>
    </row>
    <row r="16">
      <c r="A16" s="22" t="inlineStr">
        <is>
          <t>T12</t>
        </is>
      </c>
      <c r="B16" s="33" t="inlineStr">
        <is>
          <t>An accessible-format customer support channel (toll-free voice line, etc.) is discoverable for a user who cannot complete a transaction independently.</t>
        </is>
      </c>
      <c r="C16" s="46" t="inlineStr">
        <is>
          <t>GSMA MM Accessibility Guideline 4.5</t>
        </is>
      </c>
      <c r="D16" s="42" t="n">
        <v>2</v>
      </c>
      <c r="E16" s="50" t="inlineStr">
        <is>
          <t>Not Tested</t>
        </is>
      </c>
      <c r="F16" s="29">
        <f>IF(E16="Pass",1,IF(E16="Partial",0.5,IF(E16="Fail",0,0)))</f>
        <v/>
      </c>
      <c r="G16" s="33" t="n"/>
      <c r="H16" s="29">
        <f>D16*F16</f>
        <v/>
      </c>
      <c r="I16" s="29">
        <f>IF(OR(E16="Pass",E16="Partial",E16="Fail"),1,0)</f>
        <v/>
      </c>
      <c r="J16" s="57" t="n"/>
    </row>
    <row r="18">
      <c r="A18" s="98" t="inlineStr">
        <is>
          <t>TRANSACTION ACCESSIBILITY SCORE</t>
        </is>
      </c>
      <c r="B18" s="92" t="n"/>
      <c r="C18" s="92" t="n"/>
      <c r="D18" s="93" t="n"/>
    </row>
    <row r="19">
      <c r="A19" s="94" t="inlineStr">
        <is>
          <t>Weighted score achieved (sum)</t>
        </is>
      </c>
      <c r="B19" s="92" t="n"/>
      <c r="C19" s="93" t="n"/>
      <c r="D19" s="29">
        <f>SUM(H5:H16)</f>
        <v/>
      </c>
      <c r="E19" s="93" t="n"/>
    </row>
    <row r="20">
      <c r="A20" s="94" t="inlineStr">
        <is>
          <t>Weighted score possible (tested only)</t>
        </is>
      </c>
      <c r="B20" s="92" t="n"/>
      <c r="C20" s="93" t="n"/>
      <c r="D20" s="29">
        <f>SUMPRODUCT(I5:I16*D5:D16)</f>
        <v/>
      </c>
      <c r="E20" s="93" t="n"/>
    </row>
    <row r="21" ht="15.75" customHeight="1" s="78">
      <c r="A21" s="99" t="inlineStr">
        <is>
          <t>TRANSACTION SCORE (0-100)</t>
        </is>
      </c>
      <c r="B21" s="92" t="n"/>
      <c r="C21" s="93" t="n"/>
      <c r="D21" s="96">
        <f>IFERROR(D19/D20*100,0)</f>
        <v/>
      </c>
      <c r="E21" s="93" t="n"/>
    </row>
    <row r="22" ht="15.75" customHeight="1" s="78">
      <c r="A22" s="94" t="inlineStr">
        <is>
          <t>Checks not yet tested (count)</t>
        </is>
      </c>
      <c r="B22" s="92" t="n"/>
      <c r="C22" s="93" t="n"/>
      <c r="D22" s="29">
        <f>COUNTIF(E5:E16,"Not Tested")</f>
        <v/>
      </c>
      <c r="E22" s="93" t="n"/>
    </row>
    <row r="23" ht="15.75" customHeight="1" s="78"/>
    <row r="24" ht="15.75" customHeight="1" s="78"/>
    <row r="25" ht="15.75" customHeight="1" s="78"/>
    <row r="26" ht="15.75" customHeight="1" s="78"/>
    <row r="27" ht="15.75" customHeight="1" s="78"/>
    <row r="28" ht="15.75" customHeight="1" s="78"/>
    <row r="29" ht="15.75" customHeight="1" s="78"/>
    <row r="30" ht="15.75" customHeight="1" s="78"/>
    <row r="31" ht="15.75" customHeight="1" s="78"/>
    <row r="32" ht="15.75" customHeight="1" s="78"/>
    <row r="33" ht="15.75" customHeight="1" s="78"/>
    <row r="34" ht="15.75" customHeight="1" s="78"/>
    <row r="35" ht="15.75" customHeight="1" s="78"/>
    <row r="36" ht="15.75" customHeight="1" s="78"/>
    <row r="37" ht="15.75" customHeight="1" s="78"/>
    <row r="38" ht="15.75" customHeight="1" s="78"/>
    <row r="39" ht="15.75" customHeight="1" s="78"/>
    <row r="40" ht="15.75" customHeight="1" s="78"/>
    <row r="41" ht="15.75" customHeight="1" s="78"/>
    <row r="42" ht="15.75" customHeight="1" s="78"/>
    <row r="43" ht="15.75" customHeight="1" s="78"/>
    <row r="44" ht="15.75" customHeight="1" s="78"/>
    <row r="45" ht="15.75" customHeight="1" s="78"/>
    <row r="46" ht="15.75" customHeight="1" s="78"/>
    <row r="47" ht="15.75" customHeight="1" s="78"/>
    <row r="48" ht="15.75" customHeight="1" s="78"/>
    <row r="49" ht="15.75" customHeight="1" s="78"/>
    <row r="50" ht="15.75" customHeight="1" s="78"/>
    <row r="51" ht="15.75" customHeight="1" s="78"/>
    <row r="52" ht="15.75" customHeight="1" s="78"/>
    <row r="53" ht="15.75" customHeight="1" s="78"/>
    <row r="54" ht="15.75" customHeight="1" s="78"/>
    <row r="55" ht="15.75" customHeight="1" s="78"/>
    <row r="56" ht="15.75" customHeight="1" s="78"/>
    <row r="57" ht="15.75" customHeight="1" s="78"/>
    <row r="58" ht="15.75" customHeight="1" s="78"/>
    <row r="59" ht="15.75" customHeight="1" s="78"/>
    <row r="60" ht="15.75" customHeight="1" s="78"/>
    <row r="61" ht="15.75" customHeight="1" s="78"/>
    <row r="62" ht="15.75" customHeight="1" s="78"/>
    <row r="63" ht="15.75" customHeight="1" s="78"/>
    <row r="64" ht="15.75" customHeight="1" s="78"/>
    <row r="65" ht="15.75" customHeight="1" s="78"/>
    <row r="66" ht="15.75" customHeight="1" s="78"/>
    <row r="67" ht="15.75" customHeight="1" s="78"/>
    <row r="68" ht="15.75" customHeight="1" s="78"/>
    <row r="69" ht="15.75" customHeight="1" s="78"/>
    <row r="70" ht="15.75" customHeight="1" s="78"/>
    <row r="71" ht="15.75" customHeight="1" s="78"/>
    <row r="72" ht="15.75" customHeight="1" s="78"/>
    <row r="73" ht="15.75" customHeight="1" s="78"/>
    <row r="74" ht="15.75" customHeight="1" s="78"/>
    <row r="75" ht="15.75" customHeight="1" s="78"/>
    <row r="76" ht="15.75" customHeight="1" s="78"/>
    <row r="77" ht="15.75" customHeight="1" s="78"/>
    <row r="78" ht="15.75" customHeight="1" s="78"/>
    <row r="79" ht="15.75" customHeight="1" s="78"/>
    <row r="80" ht="15.75" customHeight="1" s="78"/>
    <row r="81" ht="15.75" customHeight="1" s="78"/>
    <row r="82" ht="15.75" customHeight="1" s="78"/>
    <row r="83" ht="15.75" customHeight="1" s="78"/>
    <row r="84" ht="15.75" customHeight="1" s="78"/>
    <row r="85" ht="15.75" customHeight="1" s="78"/>
    <row r="86" ht="15.75" customHeight="1" s="78"/>
    <row r="87" ht="15.75" customHeight="1" s="78"/>
    <row r="88" ht="15.75" customHeight="1" s="78"/>
    <row r="89" ht="15.75" customHeight="1" s="78"/>
    <row r="90" ht="15.75" customHeight="1" s="78"/>
    <row r="91" ht="15.75" customHeight="1" s="78"/>
    <row r="92" ht="15.75" customHeight="1" s="78"/>
    <row r="93" ht="15.75" customHeight="1" s="78"/>
    <row r="94" ht="15.75" customHeight="1" s="78"/>
    <row r="95" ht="15.75" customHeight="1" s="78"/>
    <row r="96" ht="15.75" customHeight="1" s="78"/>
    <row r="97" ht="15.75" customHeight="1" s="78"/>
    <row r="98" ht="15.75" customHeight="1" s="78"/>
    <row r="99" ht="15.75" customHeight="1" s="78"/>
    <row r="100" ht="15.75" customHeight="1" s="78"/>
    <row r="101" ht="15.75" customHeight="1" s="78"/>
    <row r="102" ht="15.75" customHeight="1" s="78"/>
    <row r="103" ht="15.75" customHeight="1" s="78"/>
    <row r="104" ht="15.75" customHeight="1" s="78"/>
    <row r="105" ht="15.75" customHeight="1" s="78"/>
    <row r="106" ht="15.75" customHeight="1" s="78"/>
    <row r="107" ht="15.75" customHeight="1" s="78"/>
    <row r="108" ht="15.75" customHeight="1" s="78"/>
    <row r="109" ht="15.75" customHeight="1" s="78"/>
    <row r="110" ht="15.75" customHeight="1" s="78"/>
    <row r="111" ht="15.75" customHeight="1" s="78"/>
    <row r="112" ht="15.75" customHeight="1" s="78"/>
    <row r="113" ht="15.75" customHeight="1" s="78"/>
    <row r="114" ht="15.75" customHeight="1" s="78"/>
    <row r="115" ht="15.75" customHeight="1" s="78"/>
    <row r="116" ht="15.75" customHeight="1" s="78"/>
    <row r="117" ht="15.75" customHeight="1" s="78"/>
    <row r="118" ht="15.75" customHeight="1" s="78"/>
    <row r="119" ht="15.75" customHeight="1" s="78"/>
    <row r="120" ht="15.75" customHeight="1" s="78"/>
    <row r="121" ht="15.75" customHeight="1" s="78"/>
    <row r="122" ht="15.75" customHeight="1" s="78"/>
    <row r="123" ht="15.75" customHeight="1" s="78"/>
    <row r="124" ht="15.75" customHeight="1" s="78"/>
    <row r="125" ht="15.75" customHeight="1" s="78"/>
    <row r="126" ht="15.75" customHeight="1" s="78"/>
    <row r="127" ht="15.75" customHeight="1" s="78"/>
    <row r="128" ht="15.75" customHeight="1" s="78"/>
    <row r="129" ht="15.75" customHeight="1" s="78"/>
    <row r="130" ht="15.75" customHeight="1" s="78"/>
    <row r="131" ht="15.75" customHeight="1" s="78"/>
    <row r="132" ht="15.75" customHeight="1" s="78"/>
    <row r="133" ht="15.75" customHeight="1" s="78"/>
    <row r="134" ht="15.75" customHeight="1" s="78"/>
    <row r="135" ht="15.75" customHeight="1" s="78"/>
    <row r="136" ht="15.75" customHeight="1" s="78"/>
    <row r="137" ht="15.75" customHeight="1" s="78"/>
    <row r="138" ht="15.75" customHeight="1" s="78"/>
    <row r="139" ht="15.75" customHeight="1" s="78"/>
    <row r="140" ht="15.75" customHeight="1" s="78"/>
    <row r="141" ht="15.75" customHeight="1" s="78"/>
    <row r="142" ht="15.75" customHeight="1" s="78"/>
    <row r="143" ht="15.75" customHeight="1" s="78"/>
    <row r="144" ht="15.75" customHeight="1" s="78"/>
    <row r="145" ht="15.75" customHeight="1" s="78"/>
    <row r="146" ht="15.75" customHeight="1" s="78"/>
    <row r="147" ht="15.75" customHeight="1" s="78"/>
    <row r="148" ht="15.75" customHeight="1" s="78"/>
    <row r="149" ht="15.75" customHeight="1" s="78"/>
    <row r="150" ht="15.75" customHeight="1" s="78"/>
    <row r="151" ht="15.75" customHeight="1" s="78"/>
    <row r="152" ht="15.75" customHeight="1" s="78"/>
    <row r="153" ht="15.75" customHeight="1" s="78"/>
    <row r="154" ht="15.75" customHeight="1" s="78"/>
    <row r="155" ht="15.75" customHeight="1" s="78"/>
    <row r="156" ht="15.75" customHeight="1" s="78"/>
    <row r="157" ht="15.75" customHeight="1" s="78"/>
    <row r="158" ht="15.75" customHeight="1" s="78"/>
    <row r="159" ht="15.75" customHeight="1" s="78"/>
    <row r="160" ht="15.75" customHeight="1" s="78"/>
    <row r="161" ht="15.75" customHeight="1" s="78"/>
    <row r="162" ht="15.75" customHeight="1" s="78"/>
    <row r="163" ht="15.75" customHeight="1" s="78"/>
    <row r="164" ht="15.75" customHeight="1" s="78"/>
    <row r="165" ht="15.75" customHeight="1" s="78"/>
    <row r="166" ht="15.75" customHeight="1" s="78"/>
    <row r="167" ht="15.75" customHeight="1" s="78"/>
    <row r="168" ht="15.75" customHeight="1" s="78"/>
    <row r="169" ht="15.75" customHeight="1" s="78"/>
    <row r="170" ht="15.75" customHeight="1" s="78"/>
    <row r="171" ht="15.75" customHeight="1" s="78"/>
    <row r="172" ht="15.75" customHeight="1" s="78"/>
    <row r="173" ht="15.75" customHeight="1" s="78"/>
    <row r="174" ht="15.75" customHeight="1" s="78"/>
    <row r="175" ht="15.75" customHeight="1" s="78"/>
    <row r="176" ht="15.75" customHeight="1" s="78"/>
    <row r="177" ht="15.75" customHeight="1" s="78"/>
    <row r="178" ht="15.75" customHeight="1" s="78"/>
    <row r="179" ht="15.75" customHeight="1" s="78"/>
    <row r="180" ht="15.75" customHeight="1" s="78"/>
    <row r="181" ht="15.75" customHeight="1" s="78"/>
    <row r="182" ht="15.75" customHeight="1" s="78"/>
    <row r="183" ht="15.75" customHeight="1" s="78"/>
    <row r="184" ht="15.75" customHeight="1" s="78"/>
    <row r="185" ht="15.75" customHeight="1" s="78"/>
    <row r="186" ht="15.75" customHeight="1" s="78"/>
    <row r="187" ht="15.75" customHeight="1" s="78"/>
    <row r="188" ht="15.75" customHeight="1" s="78"/>
    <row r="189" ht="15.75" customHeight="1" s="78"/>
    <row r="190" ht="15.75" customHeight="1" s="78"/>
    <row r="191" ht="15.75" customHeight="1" s="78"/>
    <row r="192" ht="15.75" customHeight="1" s="78"/>
    <row r="193" ht="15.75" customHeight="1" s="78"/>
    <row r="194" ht="15.75" customHeight="1" s="78"/>
    <row r="195" ht="15.75" customHeight="1" s="78"/>
    <row r="196" ht="15.75" customHeight="1" s="78"/>
    <row r="197" ht="15.75" customHeight="1" s="78"/>
    <row r="198" ht="15.75" customHeight="1" s="78"/>
    <row r="199" ht="15.75" customHeight="1" s="78"/>
    <row r="200" ht="15.75" customHeight="1" s="78"/>
    <row r="201" ht="15.75" customHeight="1" s="78"/>
    <row r="202" ht="15.75" customHeight="1" s="78"/>
    <row r="203" ht="15.75" customHeight="1" s="78"/>
    <row r="204" ht="15.75" customHeight="1" s="78"/>
    <row r="205" ht="15.75" customHeight="1" s="78"/>
    <row r="206" ht="15.75" customHeight="1" s="78"/>
    <row r="207" ht="15.75" customHeight="1" s="78"/>
    <row r="208" ht="15.75" customHeight="1" s="78"/>
    <row r="209" ht="15.75" customHeight="1" s="78"/>
    <row r="210" ht="15.75" customHeight="1" s="78"/>
    <row r="211" ht="15.75" customHeight="1" s="78"/>
    <row r="212" ht="15.75" customHeight="1" s="78"/>
    <row r="213" ht="15.75" customHeight="1" s="78"/>
    <row r="214" ht="15.75" customHeight="1" s="78"/>
    <row r="215" ht="15.75" customHeight="1" s="78"/>
    <row r="216" ht="15.75" customHeight="1" s="78"/>
    <row r="217" ht="15.75" customHeight="1" s="78"/>
    <row r="218" ht="15.75" customHeight="1" s="78"/>
    <row r="219" ht="15.75" customHeight="1" s="78"/>
    <row r="220" ht="15.75" customHeight="1" s="78"/>
    <row r="221" ht="15.75" customHeight="1" s="78"/>
    <row r="222" ht="15.75" customHeight="1" s="78"/>
    <row r="223" ht="15.75" customHeight="1" s="78"/>
    <row r="224" ht="15.75" customHeight="1" s="78"/>
    <row r="225" ht="15.75" customHeight="1" s="78"/>
    <row r="226" ht="15.75" customHeight="1" s="78"/>
    <row r="227" ht="15.75" customHeight="1" s="78"/>
    <row r="228" ht="15.75" customHeight="1" s="78"/>
    <row r="229" ht="15.75" customHeight="1" s="78"/>
    <row r="230" ht="15.75" customHeight="1" s="78"/>
    <row r="231" ht="15.75" customHeight="1" s="78"/>
    <row r="232" ht="15.75" customHeight="1" s="78"/>
    <row r="233" ht="15.75" customHeight="1" s="78"/>
    <row r="234" ht="15.75" customHeight="1" s="78"/>
    <row r="235" ht="15.75" customHeight="1" s="78"/>
    <row r="236" ht="15.75" customHeight="1" s="78"/>
    <row r="237" ht="15.75" customHeight="1" s="78"/>
    <row r="238" ht="15.75" customHeight="1" s="78"/>
    <row r="239" ht="15.75" customHeight="1" s="78"/>
    <row r="240" ht="15.75" customHeight="1" s="78"/>
    <row r="241" ht="15.75" customHeight="1" s="78"/>
    <row r="242" ht="15.75" customHeight="1" s="78"/>
    <row r="243" ht="15.75" customHeight="1" s="78"/>
    <row r="244" ht="15.75" customHeight="1" s="78"/>
    <row r="245" ht="15.75" customHeight="1" s="78"/>
    <row r="246" ht="15.75" customHeight="1" s="78"/>
    <row r="247" ht="15.75" customHeight="1" s="78"/>
    <row r="248" ht="15.75" customHeight="1" s="78"/>
    <row r="249" ht="15.75" customHeight="1" s="78"/>
    <row r="250" ht="15.75" customHeight="1" s="78"/>
    <row r="251" ht="15.75" customHeight="1" s="78"/>
    <row r="252" ht="15.75" customHeight="1" s="78"/>
    <row r="253" ht="15.75" customHeight="1" s="78"/>
    <row r="254" ht="15.75" customHeight="1" s="78"/>
    <row r="255" ht="15.75" customHeight="1" s="78"/>
    <row r="256" ht="15.75" customHeight="1" s="78"/>
    <row r="257" ht="15.75" customHeight="1" s="78"/>
    <row r="258" ht="15.75" customHeight="1" s="78"/>
    <row r="259" ht="15.75" customHeight="1" s="78"/>
    <row r="260" ht="15.75" customHeight="1" s="78"/>
    <row r="261" ht="15.75" customHeight="1" s="78"/>
    <row r="262" ht="15.75" customHeight="1" s="78"/>
    <row r="263" ht="15.75" customHeight="1" s="78"/>
    <row r="264" ht="15.75" customHeight="1" s="78"/>
    <row r="265" ht="15.75" customHeight="1" s="78"/>
    <row r="266" ht="15.75" customHeight="1" s="78"/>
    <row r="267" ht="15.75" customHeight="1" s="78"/>
    <row r="268" ht="15.75" customHeight="1" s="78"/>
    <row r="269" ht="15.75" customHeight="1" s="78"/>
    <row r="270" ht="15.75" customHeight="1" s="78"/>
    <row r="271" ht="15.75" customHeight="1" s="78"/>
    <row r="272" ht="15.75" customHeight="1" s="78"/>
    <row r="273" ht="15.75" customHeight="1" s="78"/>
    <row r="274" ht="15.75" customHeight="1" s="78"/>
    <row r="275" ht="15.75" customHeight="1" s="78"/>
    <row r="276" ht="15.75" customHeight="1" s="78"/>
    <row r="277" ht="15.75" customHeight="1" s="78"/>
    <row r="278" ht="15.75" customHeight="1" s="78"/>
    <row r="279" ht="15.75" customHeight="1" s="78"/>
    <row r="280" ht="15.75" customHeight="1" s="78"/>
    <row r="281" ht="15.75" customHeight="1" s="78"/>
    <row r="282" ht="15.75" customHeight="1" s="78"/>
    <row r="283" ht="15.75" customHeight="1" s="78"/>
    <row r="284" ht="15.75" customHeight="1" s="78"/>
    <row r="285" ht="15.75" customHeight="1" s="78"/>
    <row r="286" ht="15.75" customHeight="1" s="78"/>
    <row r="287" ht="15.75" customHeight="1" s="78"/>
    <row r="288" ht="15.75" customHeight="1" s="78"/>
    <row r="289" ht="15.75" customHeight="1" s="78"/>
    <row r="290" ht="15.75" customHeight="1" s="78"/>
    <row r="291" ht="15.75" customHeight="1" s="78"/>
    <row r="292" ht="15.75" customHeight="1" s="78"/>
    <row r="293" ht="15.75" customHeight="1" s="78"/>
    <row r="294" ht="15.75" customHeight="1" s="78"/>
    <row r="295" ht="15.75" customHeight="1" s="78"/>
    <row r="296" ht="15.75" customHeight="1" s="78"/>
    <row r="297" ht="15.75" customHeight="1" s="78"/>
    <row r="298" ht="15.75" customHeight="1" s="78"/>
    <row r="299" ht="15.75" customHeight="1" s="78"/>
    <row r="300" ht="15.75" customHeight="1" s="78"/>
    <row r="301" ht="15.75" customHeight="1" s="78"/>
    <row r="302" ht="15.75" customHeight="1" s="78"/>
    <row r="303" ht="15.75" customHeight="1" s="78"/>
    <row r="304" ht="15.75" customHeight="1" s="78"/>
    <row r="305" ht="15.75" customHeight="1" s="78"/>
    <row r="306" ht="15.75" customHeight="1" s="78"/>
    <row r="307" ht="15.75" customHeight="1" s="78"/>
    <row r="308" ht="15.75" customHeight="1" s="78"/>
    <row r="309" ht="15.75" customHeight="1" s="78"/>
    <row r="310" ht="15.75" customHeight="1" s="78"/>
    <row r="311" ht="15.75" customHeight="1" s="78"/>
    <row r="312" ht="15.75" customHeight="1" s="78"/>
    <row r="313" ht="15.75" customHeight="1" s="78"/>
    <row r="314" ht="15.75" customHeight="1" s="78"/>
    <row r="315" ht="15.75" customHeight="1" s="78"/>
    <row r="316" ht="15.75" customHeight="1" s="78"/>
    <row r="317" ht="15.75" customHeight="1" s="78"/>
    <row r="318" ht="15.75" customHeight="1" s="78"/>
    <row r="319" ht="15.75" customHeight="1" s="78"/>
    <row r="320" ht="15.75" customHeight="1" s="78"/>
    <row r="321" ht="15.75" customHeight="1" s="78"/>
    <row r="322" ht="15.75" customHeight="1" s="78"/>
    <row r="323" ht="15.75" customHeight="1" s="78"/>
    <row r="324" ht="15.75" customHeight="1" s="78"/>
    <row r="325" ht="15.75" customHeight="1" s="78"/>
    <row r="326" ht="15.75" customHeight="1" s="78"/>
    <row r="327" ht="15.75" customHeight="1" s="78"/>
    <row r="328" ht="15.75" customHeight="1" s="78"/>
    <row r="329" ht="15.75" customHeight="1" s="78"/>
    <row r="330" ht="15.75" customHeight="1" s="78"/>
    <row r="331" ht="15.75" customHeight="1" s="78"/>
    <row r="332" ht="15.75" customHeight="1" s="78"/>
    <row r="333" ht="15.75" customHeight="1" s="78"/>
    <row r="334" ht="15.75" customHeight="1" s="78"/>
    <row r="335" ht="15.75" customHeight="1" s="78"/>
    <row r="336" ht="15.75" customHeight="1" s="78"/>
    <row r="337" ht="15.75" customHeight="1" s="78"/>
    <row r="338" ht="15.75" customHeight="1" s="78"/>
    <row r="339" ht="15.75" customHeight="1" s="78"/>
    <row r="340" ht="15.75" customHeight="1" s="78"/>
    <row r="341" ht="15.75" customHeight="1" s="78"/>
    <row r="342" ht="15.75" customHeight="1" s="78"/>
    <row r="343" ht="15.75" customHeight="1" s="78"/>
    <row r="344" ht="15.75" customHeight="1" s="78"/>
    <row r="345" ht="15.75" customHeight="1" s="78"/>
    <row r="346" ht="15.75" customHeight="1" s="78"/>
    <row r="347" ht="15.75" customHeight="1" s="78"/>
    <row r="348" ht="15.75" customHeight="1" s="78"/>
    <row r="349" ht="15.75" customHeight="1" s="78"/>
    <row r="350" ht="15.75" customHeight="1" s="78"/>
    <row r="351" ht="15.75" customHeight="1" s="78"/>
    <row r="352" ht="15.75" customHeight="1" s="78"/>
    <row r="353" ht="15.75" customHeight="1" s="78"/>
    <row r="354" ht="15.75" customHeight="1" s="78"/>
    <row r="355" ht="15.75" customHeight="1" s="78"/>
    <row r="356" ht="15.75" customHeight="1" s="78"/>
    <row r="357" ht="15.75" customHeight="1" s="78"/>
    <row r="358" ht="15.75" customHeight="1" s="78"/>
    <row r="359" ht="15.75" customHeight="1" s="78"/>
    <row r="360" ht="15.75" customHeight="1" s="78"/>
    <row r="361" ht="15.75" customHeight="1" s="78"/>
    <row r="362" ht="15.75" customHeight="1" s="78"/>
    <row r="363" ht="15.75" customHeight="1" s="78"/>
    <row r="364" ht="15.75" customHeight="1" s="78"/>
    <row r="365" ht="15.75" customHeight="1" s="78"/>
    <row r="366" ht="15.75" customHeight="1" s="78"/>
    <row r="367" ht="15.75" customHeight="1" s="78"/>
    <row r="368" ht="15.75" customHeight="1" s="78"/>
    <row r="369" ht="15.75" customHeight="1" s="78"/>
    <row r="370" ht="15.75" customHeight="1" s="78"/>
    <row r="371" ht="15.75" customHeight="1" s="78"/>
    <row r="372" ht="15.75" customHeight="1" s="78"/>
    <row r="373" ht="15.75" customHeight="1" s="78"/>
    <row r="374" ht="15.75" customHeight="1" s="78"/>
    <row r="375" ht="15.75" customHeight="1" s="78"/>
    <row r="376" ht="15.75" customHeight="1" s="78"/>
    <row r="377" ht="15.75" customHeight="1" s="78"/>
    <row r="378" ht="15.75" customHeight="1" s="78"/>
    <row r="379" ht="15.75" customHeight="1" s="78"/>
    <row r="380" ht="15.75" customHeight="1" s="78"/>
    <row r="381" ht="15.75" customHeight="1" s="78"/>
    <row r="382" ht="15.75" customHeight="1" s="78"/>
    <row r="383" ht="15.75" customHeight="1" s="78"/>
    <row r="384" ht="15.75" customHeight="1" s="78"/>
    <row r="385" ht="15.75" customHeight="1" s="78"/>
    <row r="386" ht="15.75" customHeight="1" s="78"/>
    <row r="387" ht="15.75" customHeight="1" s="78"/>
    <row r="388" ht="15.75" customHeight="1" s="78"/>
    <row r="389" ht="15.75" customHeight="1" s="78"/>
    <row r="390" ht="15.75" customHeight="1" s="78"/>
    <row r="391" ht="15.75" customHeight="1" s="78"/>
    <row r="392" ht="15.75" customHeight="1" s="78"/>
    <row r="393" ht="15.75" customHeight="1" s="78"/>
    <row r="394" ht="15.75" customHeight="1" s="78"/>
    <row r="395" ht="15.75" customHeight="1" s="78"/>
    <row r="396" ht="15.75" customHeight="1" s="78"/>
    <row r="397" ht="15.75" customHeight="1" s="78"/>
    <row r="398" ht="15.75" customHeight="1" s="78"/>
    <row r="399" ht="15.75" customHeight="1" s="78"/>
    <row r="400" ht="15.75" customHeight="1" s="78"/>
    <row r="401" ht="15.75" customHeight="1" s="78"/>
    <row r="402" ht="15.75" customHeight="1" s="78"/>
    <row r="403" ht="15.75" customHeight="1" s="78"/>
    <row r="404" ht="15.75" customHeight="1" s="78"/>
    <row r="405" ht="15.75" customHeight="1" s="78"/>
    <row r="406" ht="15.75" customHeight="1" s="78"/>
    <row r="407" ht="15.75" customHeight="1" s="78"/>
    <row r="408" ht="15.75" customHeight="1" s="78"/>
    <row r="409" ht="15.75" customHeight="1" s="78"/>
    <row r="410" ht="15.75" customHeight="1" s="78"/>
    <row r="411" ht="15.75" customHeight="1" s="78"/>
    <row r="412" ht="15.75" customHeight="1" s="78"/>
    <row r="413" ht="15.75" customHeight="1" s="78"/>
    <row r="414" ht="15.75" customHeight="1" s="78"/>
    <row r="415" ht="15.75" customHeight="1" s="78"/>
    <row r="416" ht="15.75" customHeight="1" s="78"/>
    <row r="417" ht="15.75" customHeight="1" s="78"/>
    <row r="418" ht="15.75" customHeight="1" s="78"/>
    <row r="419" ht="15.75" customHeight="1" s="78"/>
    <row r="420" ht="15.75" customHeight="1" s="78"/>
    <row r="421" ht="15.75" customHeight="1" s="78"/>
    <row r="422" ht="15.75" customHeight="1" s="78"/>
    <row r="423" ht="15.75" customHeight="1" s="78"/>
    <row r="424" ht="15.75" customHeight="1" s="78"/>
    <row r="425" ht="15.75" customHeight="1" s="78"/>
    <row r="426" ht="15.75" customHeight="1" s="78"/>
    <row r="427" ht="15.75" customHeight="1" s="78"/>
    <row r="428" ht="15.75" customHeight="1" s="78"/>
    <row r="429" ht="15.75" customHeight="1" s="78"/>
    <row r="430" ht="15.75" customHeight="1" s="78"/>
    <row r="431" ht="15.75" customHeight="1" s="78"/>
    <row r="432" ht="15.75" customHeight="1" s="78"/>
    <row r="433" ht="15.75" customHeight="1" s="78"/>
    <row r="434" ht="15.75" customHeight="1" s="78"/>
    <row r="435" ht="15.75" customHeight="1" s="78"/>
    <row r="436" ht="15.75" customHeight="1" s="78"/>
    <row r="437" ht="15.75" customHeight="1" s="78"/>
    <row r="438" ht="15.75" customHeight="1" s="78"/>
    <row r="439" ht="15.75" customHeight="1" s="78"/>
    <row r="440" ht="15.75" customHeight="1" s="78"/>
    <row r="441" ht="15.75" customHeight="1" s="78"/>
    <row r="442" ht="15.75" customHeight="1" s="78"/>
    <row r="443" ht="15.75" customHeight="1" s="78"/>
    <row r="444" ht="15.75" customHeight="1" s="78"/>
    <row r="445" ht="15.75" customHeight="1" s="78"/>
    <row r="446" ht="15.75" customHeight="1" s="78"/>
    <row r="447" ht="15.75" customHeight="1" s="78"/>
    <row r="448" ht="15.75" customHeight="1" s="78"/>
    <row r="449" ht="15.75" customHeight="1" s="78"/>
    <row r="450" ht="15.75" customHeight="1" s="78"/>
    <row r="451" ht="15.75" customHeight="1" s="78"/>
    <row r="452" ht="15.75" customHeight="1" s="78"/>
    <row r="453" ht="15.75" customHeight="1" s="78"/>
    <row r="454" ht="15.75" customHeight="1" s="78"/>
    <row r="455" ht="15.75" customHeight="1" s="78"/>
    <row r="456" ht="15.75" customHeight="1" s="78"/>
    <row r="457" ht="15.75" customHeight="1" s="78"/>
    <row r="458" ht="15.75" customHeight="1" s="78"/>
    <row r="459" ht="15.75" customHeight="1" s="78"/>
    <row r="460" ht="15.75" customHeight="1" s="78"/>
    <row r="461" ht="15.75" customHeight="1" s="78"/>
    <row r="462" ht="15.75" customHeight="1" s="78"/>
    <row r="463" ht="15.75" customHeight="1" s="78"/>
    <row r="464" ht="15.75" customHeight="1" s="78"/>
    <row r="465" ht="15.75" customHeight="1" s="78"/>
    <row r="466" ht="15.75" customHeight="1" s="78"/>
    <row r="467" ht="15.75" customHeight="1" s="78"/>
    <row r="468" ht="15.75" customHeight="1" s="78"/>
    <row r="469" ht="15.75" customHeight="1" s="78"/>
    <row r="470" ht="15.75" customHeight="1" s="78"/>
    <row r="471" ht="15.75" customHeight="1" s="78"/>
    <row r="472" ht="15.75" customHeight="1" s="78"/>
    <row r="473" ht="15.75" customHeight="1" s="78"/>
    <row r="474" ht="15.75" customHeight="1" s="78"/>
    <row r="475" ht="15.75" customHeight="1" s="78"/>
    <row r="476" ht="15.75" customHeight="1" s="78"/>
    <row r="477" ht="15.75" customHeight="1" s="78"/>
    <row r="478" ht="15.75" customHeight="1" s="78"/>
    <row r="479" ht="15.75" customHeight="1" s="78"/>
    <row r="480" ht="15.75" customHeight="1" s="78"/>
    <row r="481" ht="15.75" customHeight="1" s="78"/>
    <row r="482" ht="15.75" customHeight="1" s="78"/>
    <row r="483" ht="15.75" customHeight="1" s="78"/>
    <row r="484" ht="15.75" customHeight="1" s="78"/>
    <row r="485" ht="15.75" customHeight="1" s="78"/>
    <row r="486" ht="15.75" customHeight="1" s="78"/>
    <row r="487" ht="15.75" customHeight="1" s="78"/>
    <row r="488" ht="15.75" customHeight="1" s="78"/>
    <row r="489" ht="15.75" customHeight="1" s="78"/>
    <row r="490" ht="15.75" customHeight="1" s="78"/>
    <row r="491" ht="15.75" customHeight="1" s="78"/>
    <row r="492" ht="15.75" customHeight="1" s="78"/>
    <row r="493" ht="15.75" customHeight="1" s="78"/>
    <row r="494" ht="15.75" customHeight="1" s="78"/>
    <row r="495" ht="15.75" customHeight="1" s="78"/>
    <row r="496" ht="15.75" customHeight="1" s="78"/>
    <row r="497" ht="15.75" customHeight="1" s="78"/>
    <row r="498" ht="15.75" customHeight="1" s="78"/>
    <row r="499" ht="15.75" customHeight="1" s="78"/>
    <row r="500" ht="15.75" customHeight="1" s="78"/>
    <row r="501" ht="15.75" customHeight="1" s="78"/>
    <row r="502" ht="15.75" customHeight="1" s="78"/>
    <row r="503" ht="15.75" customHeight="1" s="78"/>
    <row r="504" ht="15.75" customHeight="1" s="78"/>
    <row r="505" ht="15.75" customHeight="1" s="78"/>
    <row r="506" ht="15.75" customHeight="1" s="78"/>
    <row r="507" ht="15.75" customHeight="1" s="78"/>
    <row r="508" ht="15.75" customHeight="1" s="78"/>
    <row r="509" ht="15.75" customHeight="1" s="78"/>
    <row r="510" ht="15.75" customHeight="1" s="78"/>
    <row r="511" ht="15.75" customHeight="1" s="78"/>
    <row r="512" ht="15.75" customHeight="1" s="78"/>
    <row r="513" ht="15.75" customHeight="1" s="78"/>
    <row r="514" ht="15.75" customHeight="1" s="78"/>
    <row r="515" ht="15.75" customHeight="1" s="78"/>
    <row r="516" ht="15.75" customHeight="1" s="78"/>
    <row r="517" ht="15.75" customHeight="1" s="78"/>
    <row r="518" ht="15.75" customHeight="1" s="78"/>
    <row r="519" ht="15.75" customHeight="1" s="78"/>
    <row r="520" ht="15.75" customHeight="1" s="78"/>
    <row r="521" ht="15.75" customHeight="1" s="78"/>
    <row r="522" ht="15.75" customHeight="1" s="78"/>
    <row r="523" ht="15.75" customHeight="1" s="78"/>
    <row r="524" ht="15.75" customHeight="1" s="78"/>
    <row r="525" ht="15.75" customHeight="1" s="78"/>
    <row r="526" ht="15.75" customHeight="1" s="78"/>
    <row r="527" ht="15.75" customHeight="1" s="78"/>
    <row r="528" ht="15.75" customHeight="1" s="78"/>
    <row r="529" ht="15.75" customHeight="1" s="78"/>
    <row r="530" ht="15.75" customHeight="1" s="78"/>
    <row r="531" ht="15.75" customHeight="1" s="78"/>
    <row r="532" ht="15.75" customHeight="1" s="78"/>
    <row r="533" ht="15.75" customHeight="1" s="78"/>
    <row r="534" ht="15.75" customHeight="1" s="78"/>
    <row r="535" ht="15.75" customHeight="1" s="78"/>
    <row r="536" ht="15.75" customHeight="1" s="78"/>
    <row r="537" ht="15.75" customHeight="1" s="78"/>
    <row r="538" ht="15.75" customHeight="1" s="78"/>
    <row r="539" ht="15.75" customHeight="1" s="78"/>
    <row r="540" ht="15.75" customHeight="1" s="78"/>
    <row r="541" ht="15.75" customHeight="1" s="78"/>
    <row r="542" ht="15.75" customHeight="1" s="78"/>
    <row r="543" ht="15.75" customHeight="1" s="78"/>
    <row r="544" ht="15.75" customHeight="1" s="78"/>
    <row r="545" ht="15.75" customHeight="1" s="78"/>
    <row r="546" ht="15.75" customHeight="1" s="78"/>
    <row r="547" ht="15.75" customHeight="1" s="78"/>
    <row r="548" ht="15.75" customHeight="1" s="78"/>
    <row r="549" ht="15.75" customHeight="1" s="78"/>
    <row r="550" ht="15.75" customHeight="1" s="78"/>
    <row r="551" ht="15.75" customHeight="1" s="78"/>
    <row r="552" ht="15.75" customHeight="1" s="78"/>
    <row r="553" ht="15.75" customHeight="1" s="78"/>
    <row r="554" ht="15.75" customHeight="1" s="78"/>
    <row r="555" ht="15.75" customHeight="1" s="78"/>
    <row r="556" ht="15.75" customHeight="1" s="78"/>
    <row r="557" ht="15.75" customHeight="1" s="78"/>
    <row r="558" ht="15.75" customHeight="1" s="78"/>
    <row r="559" ht="15.75" customHeight="1" s="78"/>
    <row r="560" ht="15.75" customHeight="1" s="78"/>
    <row r="561" ht="15.75" customHeight="1" s="78"/>
    <row r="562" ht="15.75" customHeight="1" s="78"/>
    <row r="563" ht="15.75" customHeight="1" s="78"/>
    <row r="564" ht="15.75" customHeight="1" s="78"/>
    <row r="565" ht="15.75" customHeight="1" s="78"/>
    <row r="566" ht="15.75" customHeight="1" s="78"/>
    <row r="567" ht="15.75" customHeight="1" s="78"/>
    <row r="568" ht="15.75" customHeight="1" s="78"/>
    <row r="569" ht="15.75" customHeight="1" s="78"/>
    <row r="570" ht="15.75" customHeight="1" s="78"/>
    <row r="571" ht="15.75" customHeight="1" s="78"/>
    <row r="572" ht="15.75" customHeight="1" s="78"/>
    <row r="573" ht="15.75" customHeight="1" s="78"/>
    <row r="574" ht="15.75" customHeight="1" s="78"/>
    <row r="575" ht="15.75" customHeight="1" s="78"/>
    <row r="576" ht="15.75" customHeight="1" s="78"/>
    <row r="577" ht="15.75" customHeight="1" s="78"/>
    <row r="578" ht="15.75" customHeight="1" s="78"/>
    <row r="579" ht="15.75" customHeight="1" s="78"/>
    <row r="580" ht="15.75" customHeight="1" s="78"/>
    <row r="581" ht="15.75" customHeight="1" s="78"/>
    <row r="582" ht="15.75" customHeight="1" s="78"/>
    <row r="583" ht="15.75" customHeight="1" s="78"/>
    <row r="584" ht="15.75" customHeight="1" s="78"/>
    <row r="585" ht="15.75" customHeight="1" s="78"/>
    <row r="586" ht="15.75" customHeight="1" s="78"/>
    <row r="587" ht="15.75" customHeight="1" s="78"/>
    <row r="588" ht="15.75" customHeight="1" s="78"/>
    <row r="589" ht="15.75" customHeight="1" s="78"/>
    <row r="590" ht="15.75" customHeight="1" s="78"/>
    <row r="591" ht="15.75" customHeight="1" s="78"/>
    <row r="592" ht="15.75" customHeight="1" s="78"/>
    <row r="593" ht="15.75" customHeight="1" s="78"/>
    <row r="594" ht="15.75" customHeight="1" s="78"/>
    <row r="595" ht="15.75" customHeight="1" s="78"/>
    <row r="596" ht="15.75" customHeight="1" s="78"/>
    <row r="597" ht="15.75" customHeight="1" s="78"/>
    <row r="598" ht="15.75" customHeight="1" s="78"/>
    <row r="599" ht="15.75" customHeight="1" s="78"/>
    <row r="600" ht="15.75" customHeight="1" s="78"/>
    <row r="601" ht="15.75" customHeight="1" s="78"/>
    <row r="602" ht="15.75" customHeight="1" s="78"/>
    <row r="603" ht="15.75" customHeight="1" s="78"/>
    <row r="604" ht="15.75" customHeight="1" s="78"/>
    <row r="605" ht="15.75" customHeight="1" s="78"/>
    <row r="606" ht="15.75" customHeight="1" s="78"/>
    <row r="607" ht="15.75" customHeight="1" s="78"/>
    <row r="608" ht="15.75" customHeight="1" s="78"/>
    <row r="609" ht="15.75" customHeight="1" s="78"/>
    <row r="610" ht="15.75" customHeight="1" s="78"/>
    <row r="611" ht="15.75" customHeight="1" s="78"/>
    <row r="612" ht="15.75" customHeight="1" s="78"/>
    <row r="613" ht="15.75" customHeight="1" s="78"/>
    <row r="614" ht="15.75" customHeight="1" s="78"/>
    <row r="615" ht="15.75" customHeight="1" s="78"/>
    <row r="616" ht="15.75" customHeight="1" s="78"/>
    <row r="617" ht="15.75" customHeight="1" s="78"/>
    <row r="618" ht="15.75" customHeight="1" s="78"/>
    <row r="619" ht="15.75" customHeight="1" s="78"/>
    <row r="620" ht="15.75" customHeight="1" s="78"/>
    <row r="621" ht="15.75" customHeight="1" s="78"/>
    <row r="622" ht="15.75" customHeight="1" s="78"/>
    <row r="623" ht="15.75" customHeight="1" s="78"/>
    <row r="624" ht="15.75" customHeight="1" s="78"/>
    <row r="625" ht="15.75" customHeight="1" s="78"/>
    <row r="626" ht="15.75" customHeight="1" s="78"/>
    <row r="627" ht="15.75" customHeight="1" s="78"/>
    <row r="628" ht="15.75" customHeight="1" s="78"/>
    <row r="629" ht="15.75" customHeight="1" s="78"/>
    <row r="630" ht="15.75" customHeight="1" s="78"/>
    <row r="631" ht="15.75" customHeight="1" s="78"/>
    <row r="632" ht="15.75" customHeight="1" s="78"/>
    <row r="633" ht="15.75" customHeight="1" s="78"/>
    <row r="634" ht="15.75" customHeight="1" s="78"/>
    <row r="635" ht="15.75" customHeight="1" s="78"/>
    <row r="636" ht="15.75" customHeight="1" s="78"/>
    <row r="637" ht="15.75" customHeight="1" s="78"/>
    <row r="638" ht="15.75" customHeight="1" s="78"/>
    <row r="639" ht="15.75" customHeight="1" s="78"/>
    <row r="640" ht="15.75" customHeight="1" s="78"/>
    <row r="641" ht="15.75" customHeight="1" s="78"/>
    <row r="642" ht="15.75" customHeight="1" s="78"/>
    <row r="643" ht="15.75" customHeight="1" s="78"/>
    <row r="644" ht="15.75" customHeight="1" s="78"/>
    <row r="645" ht="15.75" customHeight="1" s="78"/>
    <row r="646" ht="15.75" customHeight="1" s="78"/>
    <row r="647" ht="15.75" customHeight="1" s="78"/>
    <row r="648" ht="15.75" customHeight="1" s="78"/>
    <row r="649" ht="15.75" customHeight="1" s="78"/>
    <row r="650" ht="15.75" customHeight="1" s="78"/>
    <row r="651" ht="15.75" customHeight="1" s="78"/>
    <row r="652" ht="15.75" customHeight="1" s="78"/>
    <row r="653" ht="15.75" customHeight="1" s="78"/>
    <row r="654" ht="15.75" customHeight="1" s="78"/>
    <row r="655" ht="15.75" customHeight="1" s="78"/>
    <row r="656" ht="15.75" customHeight="1" s="78"/>
    <row r="657" ht="15.75" customHeight="1" s="78"/>
    <row r="658" ht="15.75" customHeight="1" s="78"/>
    <row r="659" ht="15.75" customHeight="1" s="78"/>
    <row r="660" ht="15.75" customHeight="1" s="78"/>
    <row r="661" ht="15.75" customHeight="1" s="78"/>
    <row r="662" ht="15.75" customHeight="1" s="78"/>
    <row r="663" ht="15.75" customHeight="1" s="78"/>
    <row r="664" ht="15.75" customHeight="1" s="78"/>
    <row r="665" ht="15.75" customHeight="1" s="78"/>
    <row r="666" ht="15.75" customHeight="1" s="78"/>
    <row r="667" ht="15.75" customHeight="1" s="78"/>
    <row r="668" ht="15.75" customHeight="1" s="78"/>
    <row r="669" ht="15.75" customHeight="1" s="78"/>
    <row r="670" ht="15.75" customHeight="1" s="78"/>
    <row r="671" ht="15.75" customHeight="1" s="78"/>
    <row r="672" ht="15.75" customHeight="1" s="78"/>
    <row r="673" ht="15.75" customHeight="1" s="78"/>
    <row r="674" ht="15.75" customHeight="1" s="78"/>
    <row r="675" ht="15.75" customHeight="1" s="78"/>
    <row r="676" ht="15.75" customHeight="1" s="78"/>
    <row r="677" ht="15.75" customHeight="1" s="78"/>
    <row r="678" ht="15.75" customHeight="1" s="78"/>
    <row r="679" ht="15.75" customHeight="1" s="78"/>
    <row r="680" ht="15.75" customHeight="1" s="78"/>
    <row r="681" ht="15.75" customHeight="1" s="78"/>
    <row r="682" ht="15.75" customHeight="1" s="78"/>
    <row r="683" ht="15.75" customHeight="1" s="78"/>
    <row r="684" ht="15.75" customHeight="1" s="78"/>
    <row r="685" ht="15.75" customHeight="1" s="78"/>
    <row r="686" ht="15.75" customHeight="1" s="78"/>
    <row r="687" ht="15.75" customHeight="1" s="78"/>
    <row r="688" ht="15.75" customHeight="1" s="78"/>
    <row r="689" ht="15.75" customHeight="1" s="78"/>
    <row r="690" ht="15.75" customHeight="1" s="78"/>
    <row r="691" ht="15.75" customHeight="1" s="78"/>
    <row r="692" ht="15.75" customHeight="1" s="78"/>
    <row r="693" ht="15.75" customHeight="1" s="78"/>
    <row r="694" ht="15.75" customHeight="1" s="78"/>
    <row r="695" ht="15.75" customHeight="1" s="78"/>
    <row r="696" ht="15.75" customHeight="1" s="78"/>
    <row r="697" ht="15.75" customHeight="1" s="78"/>
    <row r="698" ht="15.75" customHeight="1" s="78"/>
    <row r="699" ht="15.75" customHeight="1" s="78"/>
    <row r="700" ht="15.75" customHeight="1" s="78"/>
    <row r="701" ht="15.75" customHeight="1" s="78"/>
    <row r="702" ht="15.75" customHeight="1" s="78"/>
    <row r="703" ht="15.75" customHeight="1" s="78"/>
    <row r="704" ht="15.75" customHeight="1" s="78"/>
    <row r="705" ht="15.75" customHeight="1" s="78"/>
    <row r="706" ht="15.75" customHeight="1" s="78"/>
    <row r="707" ht="15.75" customHeight="1" s="78"/>
    <row r="708" ht="15.75" customHeight="1" s="78"/>
    <row r="709" ht="15.75" customHeight="1" s="78"/>
    <row r="710" ht="15.75" customHeight="1" s="78"/>
    <row r="711" ht="15.75" customHeight="1" s="78"/>
    <row r="712" ht="15.75" customHeight="1" s="78"/>
    <row r="713" ht="15.75" customHeight="1" s="78"/>
    <row r="714" ht="15.75" customHeight="1" s="78"/>
    <row r="715" ht="15.75" customHeight="1" s="78"/>
    <row r="716" ht="15.75" customHeight="1" s="78"/>
    <row r="717" ht="15.75" customHeight="1" s="78"/>
    <row r="718" ht="15.75" customHeight="1" s="78"/>
    <row r="719" ht="15.75" customHeight="1" s="78"/>
    <row r="720" ht="15.75" customHeight="1" s="78"/>
    <row r="721" ht="15.75" customHeight="1" s="78"/>
    <row r="722" ht="15.75" customHeight="1" s="78"/>
    <row r="723" ht="15.75" customHeight="1" s="78"/>
    <row r="724" ht="15.75" customHeight="1" s="78"/>
    <row r="725" ht="15.75" customHeight="1" s="78"/>
    <row r="726" ht="15.75" customHeight="1" s="78"/>
    <row r="727" ht="15.75" customHeight="1" s="78"/>
    <row r="728" ht="15.75" customHeight="1" s="78"/>
    <row r="729" ht="15.75" customHeight="1" s="78"/>
    <row r="730" ht="15.75" customHeight="1" s="78"/>
    <row r="731" ht="15.75" customHeight="1" s="78"/>
    <row r="732" ht="15.75" customHeight="1" s="78"/>
    <row r="733" ht="15.75" customHeight="1" s="78"/>
    <row r="734" ht="15.75" customHeight="1" s="78"/>
    <row r="735" ht="15.75" customHeight="1" s="78"/>
    <row r="736" ht="15.75" customHeight="1" s="78"/>
    <row r="737" ht="15.75" customHeight="1" s="78"/>
    <row r="738" ht="15.75" customHeight="1" s="78"/>
    <row r="739" ht="15.75" customHeight="1" s="78"/>
    <row r="740" ht="15.75" customHeight="1" s="78"/>
    <row r="741" ht="15.75" customHeight="1" s="78"/>
    <row r="742" ht="15.75" customHeight="1" s="78"/>
    <row r="743" ht="15.75" customHeight="1" s="78"/>
    <row r="744" ht="15.75" customHeight="1" s="78"/>
    <row r="745" ht="15.75" customHeight="1" s="78"/>
    <row r="746" ht="15.75" customHeight="1" s="78"/>
    <row r="747" ht="15.75" customHeight="1" s="78"/>
    <row r="748" ht="15.75" customHeight="1" s="78"/>
    <row r="749" ht="15.75" customHeight="1" s="78"/>
    <row r="750" ht="15.75" customHeight="1" s="78"/>
    <row r="751" ht="15.75" customHeight="1" s="78"/>
    <row r="752" ht="15.75" customHeight="1" s="78"/>
    <row r="753" ht="15.75" customHeight="1" s="78"/>
    <row r="754" ht="15.75" customHeight="1" s="78"/>
    <row r="755" ht="15.75" customHeight="1" s="78"/>
    <row r="756" ht="15.75" customHeight="1" s="78"/>
    <row r="757" ht="15.75" customHeight="1" s="78"/>
    <row r="758" ht="15.75" customHeight="1" s="78"/>
    <row r="759" ht="15.75" customHeight="1" s="78"/>
    <row r="760" ht="15.75" customHeight="1" s="78"/>
    <row r="761" ht="15.75" customHeight="1" s="78"/>
    <row r="762" ht="15.75" customHeight="1" s="78"/>
    <row r="763" ht="15.75" customHeight="1" s="78"/>
    <row r="764" ht="15.75" customHeight="1" s="78"/>
    <row r="765" ht="15.75" customHeight="1" s="78"/>
    <row r="766" ht="15.75" customHeight="1" s="78"/>
    <row r="767" ht="15.75" customHeight="1" s="78"/>
    <row r="768" ht="15.75" customHeight="1" s="78"/>
    <row r="769" ht="15.75" customHeight="1" s="78"/>
    <row r="770" ht="15.75" customHeight="1" s="78"/>
    <row r="771" ht="15.75" customHeight="1" s="78"/>
    <row r="772" ht="15.75" customHeight="1" s="78"/>
    <row r="773" ht="15.75" customHeight="1" s="78"/>
    <row r="774" ht="15.75" customHeight="1" s="78"/>
    <row r="775" ht="15.75" customHeight="1" s="78"/>
    <row r="776" ht="15.75" customHeight="1" s="78"/>
    <row r="777" ht="15.75" customHeight="1" s="78"/>
    <row r="778" ht="15.75" customHeight="1" s="78"/>
    <row r="779" ht="15.75" customHeight="1" s="78"/>
    <row r="780" ht="15.75" customHeight="1" s="78"/>
    <row r="781" ht="15.75" customHeight="1" s="78"/>
    <row r="782" ht="15.75" customHeight="1" s="78"/>
    <row r="783" ht="15.75" customHeight="1" s="78"/>
    <row r="784" ht="15.75" customHeight="1" s="78"/>
    <row r="785" ht="15.75" customHeight="1" s="78"/>
    <row r="786" ht="15.75" customHeight="1" s="78"/>
    <row r="787" ht="15.75" customHeight="1" s="78"/>
    <row r="788" ht="15.75" customHeight="1" s="78"/>
    <row r="789" ht="15.75" customHeight="1" s="78"/>
    <row r="790" ht="15.75" customHeight="1" s="78"/>
    <row r="791" ht="15.75" customHeight="1" s="78"/>
    <row r="792" ht="15.75" customHeight="1" s="78"/>
    <row r="793" ht="15.75" customHeight="1" s="78"/>
    <row r="794" ht="15.75" customHeight="1" s="78"/>
    <row r="795" ht="15.75" customHeight="1" s="78"/>
    <row r="796" ht="15.75" customHeight="1" s="78"/>
    <row r="797" ht="15.75" customHeight="1" s="78"/>
    <row r="798" ht="15.75" customHeight="1" s="78"/>
    <row r="799" ht="15.75" customHeight="1" s="78"/>
    <row r="800" ht="15.75" customHeight="1" s="78"/>
    <row r="801" ht="15.75" customHeight="1" s="78"/>
    <row r="802" ht="15.75" customHeight="1" s="78"/>
    <row r="803" ht="15.75" customHeight="1" s="78"/>
    <row r="804" ht="15.75" customHeight="1" s="78"/>
    <row r="805" ht="15.75" customHeight="1" s="78"/>
    <row r="806" ht="15.75" customHeight="1" s="78"/>
    <row r="807" ht="15.75" customHeight="1" s="78"/>
    <row r="808" ht="15.75" customHeight="1" s="78"/>
    <row r="809" ht="15.75" customHeight="1" s="78"/>
    <row r="810" ht="15.75" customHeight="1" s="78"/>
    <row r="811" ht="15.75" customHeight="1" s="78"/>
    <row r="812" ht="15.75" customHeight="1" s="78"/>
    <row r="813" ht="15.75" customHeight="1" s="78"/>
    <row r="814" ht="15.75" customHeight="1" s="78"/>
    <row r="815" ht="15.75" customHeight="1" s="78"/>
    <row r="816" ht="15.75" customHeight="1" s="78"/>
    <row r="817" ht="15.75" customHeight="1" s="78"/>
    <row r="818" ht="15.75" customHeight="1" s="78"/>
    <row r="819" ht="15.75" customHeight="1" s="78"/>
    <row r="820" ht="15.75" customHeight="1" s="78"/>
    <row r="821" ht="15.75" customHeight="1" s="78"/>
    <row r="822" ht="15.75" customHeight="1" s="78"/>
    <row r="823" ht="15.75" customHeight="1" s="78"/>
    <row r="824" ht="15.75" customHeight="1" s="78"/>
    <row r="825" ht="15.75" customHeight="1" s="78"/>
    <row r="826" ht="15.75" customHeight="1" s="78"/>
    <row r="827" ht="15.75" customHeight="1" s="78"/>
    <row r="828" ht="15.75" customHeight="1" s="78"/>
    <row r="829" ht="15.75" customHeight="1" s="78"/>
    <row r="830" ht="15.75" customHeight="1" s="78"/>
    <row r="831" ht="15.75" customHeight="1" s="78"/>
    <row r="832" ht="15.75" customHeight="1" s="78"/>
    <row r="833" ht="15.75" customHeight="1" s="78"/>
    <row r="834" ht="15.75" customHeight="1" s="78"/>
    <row r="835" ht="15.75" customHeight="1" s="78"/>
    <row r="836" ht="15.75" customHeight="1" s="78"/>
    <row r="837" ht="15.75" customHeight="1" s="78"/>
    <row r="838" ht="15.75" customHeight="1" s="78"/>
    <row r="839" ht="15.75" customHeight="1" s="78"/>
    <row r="840" ht="15.75" customHeight="1" s="78"/>
    <row r="841" ht="15.75" customHeight="1" s="78"/>
    <row r="842" ht="15.75" customHeight="1" s="78"/>
    <row r="843" ht="15.75" customHeight="1" s="78"/>
    <row r="844" ht="15.75" customHeight="1" s="78"/>
    <row r="845" ht="15.75" customHeight="1" s="78"/>
    <row r="846" ht="15.75" customHeight="1" s="78"/>
    <row r="847" ht="15.75" customHeight="1" s="78"/>
    <row r="848" ht="15.75" customHeight="1" s="78"/>
    <row r="849" ht="15.75" customHeight="1" s="78"/>
    <row r="850" ht="15.75" customHeight="1" s="78"/>
    <row r="851" ht="15.75" customHeight="1" s="78"/>
    <row r="852" ht="15.75" customHeight="1" s="78"/>
    <row r="853" ht="15.75" customHeight="1" s="78"/>
    <row r="854" ht="15.75" customHeight="1" s="78"/>
    <row r="855" ht="15.75" customHeight="1" s="78"/>
    <row r="856" ht="15.75" customHeight="1" s="78"/>
    <row r="857" ht="15.75" customHeight="1" s="78"/>
    <row r="858" ht="15.75" customHeight="1" s="78"/>
    <row r="859" ht="15.75" customHeight="1" s="78"/>
    <row r="860" ht="15.75" customHeight="1" s="78"/>
    <row r="861" ht="15.75" customHeight="1" s="78"/>
    <row r="862" ht="15.75" customHeight="1" s="78"/>
    <row r="863" ht="15.75" customHeight="1" s="78"/>
    <row r="864" ht="15.75" customHeight="1" s="78"/>
    <row r="865" ht="15.75" customHeight="1" s="78"/>
    <row r="866" ht="15.75" customHeight="1" s="78"/>
    <row r="867" ht="15.75" customHeight="1" s="78"/>
    <row r="868" ht="15.75" customHeight="1" s="78"/>
    <row r="869" ht="15.75" customHeight="1" s="78"/>
    <row r="870" ht="15.75" customHeight="1" s="78"/>
    <row r="871" ht="15.75" customHeight="1" s="78"/>
    <row r="872" ht="15.75" customHeight="1" s="78"/>
    <row r="873" ht="15.75" customHeight="1" s="78"/>
    <row r="874" ht="15.75" customHeight="1" s="78"/>
    <row r="875" ht="15.75" customHeight="1" s="78"/>
    <row r="876" ht="15.75" customHeight="1" s="78"/>
    <row r="877" ht="15.75" customHeight="1" s="78"/>
    <row r="878" ht="15.75" customHeight="1" s="78"/>
    <row r="879" ht="15.75" customHeight="1" s="78"/>
    <row r="880" ht="15.75" customHeight="1" s="78"/>
    <row r="881" ht="15.75" customHeight="1" s="78"/>
    <row r="882" ht="15.75" customHeight="1" s="78"/>
    <row r="883" ht="15.75" customHeight="1" s="78"/>
    <row r="884" ht="15.75" customHeight="1" s="78"/>
    <row r="885" ht="15.75" customHeight="1" s="78"/>
    <row r="886" ht="15.75" customHeight="1" s="78"/>
    <row r="887" ht="15.75" customHeight="1" s="78"/>
    <row r="888" ht="15.75" customHeight="1" s="78"/>
    <row r="889" ht="15.75" customHeight="1" s="78"/>
    <row r="890" ht="15.75" customHeight="1" s="78"/>
    <row r="891" ht="15.75" customHeight="1" s="78"/>
    <row r="892" ht="15.75" customHeight="1" s="78"/>
    <row r="893" ht="15.75" customHeight="1" s="78"/>
    <row r="894" ht="15.75" customHeight="1" s="78"/>
    <row r="895" ht="15.75" customHeight="1" s="78"/>
    <row r="896" ht="15.75" customHeight="1" s="78"/>
    <row r="897" ht="15.75" customHeight="1" s="78"/>
    <row r="898" ht="15.75" customHeight="1" s="78"/>
    <row r="899" ht="15.75" customHeight="1" s="78"/>
    <row r="900" ht="15.75" customHeight="1" s="78"/>
    <row r="901" ht="15.75" customHeight="1" s="78"/>
    <row r="902" ht="15.75" customHeight="1" s="78"/>
    <row r="903" ht="15.75" customHeight="1" s="78"/>
    <row r="904" ht="15.75" customHeight="1" s="78"/>
    <row r="905" ht="15.75" customHeight="1" s="78"/>
    <row r="906" ht="15.75" customHeight="1" s="78"/>
    <row r="907" ht="15.75" customHeight="1" s="78"/>
    <row r="908" ht="15.75" customHeight="1" s="78"/>
    <row r="909" ht="15.75" customHeight="1" s="78"/>
    <row r="910" ht="15.75" customHeight="1" s="78"/>
    <row r="911" ht="15.75" customHeight="1" s="78"/>
    <row r="912" ht="15.75" customHeight="1" s="78"/>
    <row r="913" ht="15.75" customHeight="1" s="78"/>
    <row r="914" ht="15.75" customHeight="1" s="78"/>
    <row r="915" ht="15.75" customHeight="1" s="78"/>
    <row r="916" ht="15.75" customHeight="1" s="78"/>
    <row r="917" ht="15.75" customHeight="1" s="78"/>
    <row r="918" ht="15.75" customHeight="1" s="78"/>
    <row r="919" ht="15.75" customHeight="1" s="78"/>
    <row r="920" ht="15.75" customHeight="1" s="78"/>
    <row r="921" ht="15.75" customHeight="1" s="78"/>
    <row r="922" ht="15.75" customHeight="1" s="78"/>
    <row r="923" ht="15.75" customHeight="1" s="78"/>
    <row r="924" ht="15.75" customHeight="1" s="78"/>
    <row r="925" ht="15.75" customHeight="1" s="78"/>
    <row r="926" ht="15.75" customHeight="1" s="78"/>
    <row r="927" ht="15.75" customHeight="1" s="78"/>
    <row r="928" ht="15.75" customHeight="1" s="78"/>
    <row r="929" ht="15.75" customHeight="1" s="78"/>
    <row r="930" ht="15.75" customHeight="1" s="78"/>
    <row r="931" ht="15.75" customHeight="1" s="78"/>
    <row r="932" ht="15.75" customHeight="1" s="78"/>
    <row r="933" ht="15.75" customHeight="1" s="78"/>
    <row r="934" ht="15.75" customHeight="1" s="78"/>
    <row r="935" ht="15.75" customHeight="1" s="78"/>
    <row r="936" ht="15.75" customHeight="1" s="78"/>
    <row r="937" ht="15.75" customHeight="1" s="78"/>
    <row r="938" ht="15.75" customHeight="1" s="78"/>
    <row r="939" ht="15.75" customHeight="1" s="78"/>
    <row r="940" ht="15.75" customHeight="1" s="78"/>
    <row r="941" ht="15.75" customHeight="1" s="78"/>
    <row r="942" ht="15.75" customHeight="1" s="78"/>
    <row r="943" ht="15.75" customHeight="1" s="78"/>
    <row r="944" ht="15.75" customHeight="1" s="78"/>
    <row r="945" ht="15.75" customHeight="1" s="78"/>
    <row r="946" ht="15.75" customHeight="1" s="78"/>
    <row r="947" ht="15.75" customHeight="1" s="78"/>
    <row r="948" ht="15.75" customHeight="1" s="78"/>
    <row r="949" ht="15.75" customHeight="1" s="78"/>
    <row r="950" ht="15.75" customHeight="1" s="78"/>
    <row r="951" ht="15.75" customHeight="1" s="78"/>
    <row r="952" ht="15.75" customHeight="1" s="78"/>
    <row r="953" ht="15.75" customHeight="1" s="78"/>
    <row r="954" ht="15.75" customHeight="1" s="78"/>
    <row r="955" ht="15.75" customHeight="1" s="78"/>
    <row r="956" ht="15.75" customHeight="1" s="78"/>
    <row r="957" ht="15.75" customHeight="1" s="78"/>
    <row r="958" ht="15.75" customHeight="1" s="78"/>
    <row r="959" ht="15.75" customHeight="1" s="78"/>
    <row r="960" ht="15.75" customHeight="1" s="78"/>
    <row r="961" ht="15.75" customHeight="1" s="78"/>
    <row r="962" ht="15.75" customHeight="1" s="78"/>
    <row r="963" ht="15.75" customHeight="1" s="78"/>
    <row r="964" ht="15.75" customHeight="1" s="78"/>
    <row r="965" ht="15.75" customHeight="1" s="78"/>
    <row r="966" ht="15.75" customHeight="1" s="78"/>
    <row r="967" ht="15.75" customHeight="1" s="78"/>
    <row r="968" ht="15.75" customHeight="1" s="78"/>
    <row r="969" ht="15.75" customHeight="1" s="78"/>
    <row r="970" ht="15.75" customHeight="1" s="78"/>
    <row r="971" ht="15.75" customHeight="1" s="78"/>
    <row r="972" ht="15.75" customHeight="1" s="78"/>
    <row r="973" ht="15.75" customHeight="1" s="78"/>
    <row r="974" ht="15.75" customHeight="1" s="78"/>
    <row r="975" ht="15.75" customHeight="1" s="78"/>
    <row r="976" ht="15.75" customHeight="1" s="78"/>
    <row r="977" ht="15.75" customHeight="1" s="78"/>
    <row r="978" ht="15.75" customHeight="1" s="78"/>
    <row r="979" ht="15.75" customHeight="1" s="78"/>
    <row r="980" ht="15.75" customHeight="1" s="78"/>
    <row r="981" ht="15.75" customHeight="1" s="78"/>
    <row r="982" ht="15.75" customHeight="1" s="78"/>
    <row r="983" ht="15.75" customHeight="1" s="78"/>
    <row r="984" ht="15.75" customHeight="1" s="78"/>
    <row r="985" ht="15.75" customHeight="1" s="78"/>
    <row r="986" ht="15.75" customHeight="1" s="78"/>
    <row r="987" ht="15.75" customHeight="1" s="78"/>
    <row r="988" ht="15.75" customHeight="1" s="78"/>
    <row r="989" ht="15.75" customHeight="1" s="78"/>
    <row r="990" ht="15.75" customHeight="1" s="78"/>
    <row r="991" ht="15.75" customHeight="1" s="78"/>
    <row r="992" ht="15.75" customHeight="1" s="78"/>
    <row r="993" ht="15.75" customHeight="1" s="78"/>
    <row r="994" ht="15.75" customHeight="1" s="78"/>
    <row r="995" ht="15.75" customHeight="1" s="78"/>
    <row r="996" ht="15.75" customHeight="1" s="78"/>
    <row r="997" ht="15.75" customHeight="1" s="78"/>
    <row r="998" ht="15.75" customHeight="1" s="78"/>
    <row r="999" ht="15.75" customHeight="1" s="78"/>
    <row r="1000" ht="15.75" customHeight="1" s="78"/>
  </sheetData>
  <mergeCells count="11">
    <mergeCell ref="D20:E20"/>
    <mergeCell ref="A18:D18"/>
    <mergeCell ref="A19:C19"/>
    <mergeCell ref="D19:E19"/>
    <mergeCell ref="A1:F1"/>
    <mergeCell ref="A22:C22"/>
    <mergeCell ref="D22:E22"/>
    <mergeCell ref="A21:C21"/>
    <mergeCell ref="A2:J2"/>
    <mergeCell ref="A20:C20"/>
    <mergeCell ref="D21:E21"/>
  </mergeCells>
  <dataValidations count="1">
    <dataValidation sqref="E5:E16" showDropDown="0" showInputMessage="0" showErrorMessage="0" allowBlank="1" type="list">
      <formula1>"Pass,Partial,Fail,Not Tested,N/A"</formula1>
    </dataValidation>
  </dataValidations>
  <pageMargins left="0.75" right="0.75" top="1" bottom="1" header="0" footer="0"/>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2026-09-25T11:54:30Z</dcterms:created>
  <dcterms:modified xsi:type="dcterms:W3CDTF">2026-10-11T18:11:05Z</dcterms:modified>
</cp:coreProperties>
</file>